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MS\Reference\"/>
    </mc:Choice>
  </mc:AlternateContent>
  <xr:revisionPtr revIDLastSave="0" documentId="13_ncr:1_{F7468177-141B-4D84-BB2D-E49135E4A5B8}" xr6:coauthVersionLast="47" xr6:coauthVersionMax="47" xr10:uidLastSave="{00000000-0000-0000-0000-000000000000}"/>
  <bookViews>
    <workbookView xWindow="-110" yWindow="-110" windowWidth="19420" windowHeight="10300" tabRatio="733" xr2:uid="{CBE4D2E5-6AC6-4D87-8099-48FD5EBEFE9F}"/>
  </bookViews>
  <sheets>
    <sheet name="List งานทะเบียนภาษี" sheetId="17" r:id="rId1"/>
    <sheet name="ตารางจาก mail" sheetId="20" r:id="rId2"/>
    <sheet name="เครื่องจักรกล" sheetId="1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a">#REF!</definedName>
    <definedName name="\b">#REF!</definedName>
    <definedName name="\c">[1]REPAY45!#REF!</definedName>
    <definedName name="\d">#REF!</definedName>
    <definedName name="\e">[1]REPAY45!#REF!</definedName>
    <definedName name="\h">#REF!</definedName>
    <definedName name="\i">[1]REPAY45!#REF!</definedName>
    <definedName name="\j">[1]REPAY45!#REF!</definedName>
    <definedName name="\p">#REF!</definedName>
    <definedName name="\q">#REF!</definedName>
    <definedName name="\s">#REF!</definedName>
    <definedName name="\t">#REF!</definedName>
    <definedName name="\x">[2]INT45!#REF!</definedName>
    <definedName name="\z">#REF!</definedName>
    <definedName name="___MO1">#REF!</definedName>
    <definedName name="___MO10">#REF!</definedName>
    <definedName name="___MO11">#REF!</definedName>
    <definedName name="___MO12">#REF!</definedName>
    <definedName name="___MO2">#REF!</definedName>
    <definedName name="___MO3">#REF!</definedName>
    <definedName name="___MO4">#REF!</definedName>
    <definedName name="___MO5">#REF!</definedName>
    <definedName name="___MO6">#REF!</definedName>
    <definedName name="___MO7">#REF!</definedName>
    <definedName name="___MO8">#REF!</definedName>
    <definedName name="___MO9">#REF!</definedName>
    <definedName name="__123Graph_B" hidden="1">#REF!</definedName>
    <definedName name="__123Graph_D" hidden="1">#REF!</definedName>
    <definedName name="__123Graph_F" hidden="1">[3]รายละเอียดIDC!#REF!</definedName>
    <definedName name="__MO1">#REF!</definedName>
    <definedName name="__MO10">#REF!</definedName>
    <definedName name="__MO11">#REF!</definedName>
    <definedName name="__MO12">#REF!</definedName>
    <definedName name="__MO2">#REF!</definedName>
    <definedName name="__MO3">#REF!</definedName>
    <definedName name="__MO4">#REF!</definedName>
    <definedName name="__MO5">#REF!</definedName>
    <definedName name="__MO6">#REF!</definedName>
    <definedName name="__MO7">#REF!</definedName>
    <definedName name="__MO8">#REF!</definedName>
    <definedName name="__MO9">#REF!</definedName>
    <definedName name="_1_____123Graph_ACHART_10" hidden="1">#REF!</definedName>
    <definedName name="_1____123Graph_ACHART_10" hidden="1">#REF!</definedName>
    <definedName name="_1___123Graph_ACHART_10" hidden="1">#REF!</definedName>
    <definedName name="_1__123Graph_ACHART_10" hidden="1">#REF!</definedName>
    <definedName name="_10_____123Graph_BCHART_10" hidden="1">#REF!</definedName>
    <definedName name="_10____123Graph_BCHART_10" hidden="1">#REF!</definedName>
    <definedName name="_10___123Graph_BCHART_10" hidden="1">#REF!</definedName>
    <definedName name="_10__123Graph_BCHART_10" hidden="1">#REF!</definedName>
    <definedName name="_100____123Graph_ECHART_10" hidden="1">#REF!</definedName>
    <definedName name="_100___123Graph_ECHART_10" hidden="1">#REF!</definedName>
    <definedName name="_100__123Graph_ECHART_10" hidden="1">#REF!</definedName>
    <definedName name="_101____123Graph_ECHART_11" hidden="1">#REF!</definedName>
    <definedName name="_101___123Graph_ECHART_11" hidden="1">#REF!</definedName>
    <definedName name="_101__123Graph_ECHART_11" hidden="1">#REF!</definedName>
    <definedName name="_102____123Graph_ECHART_1G" hidden="1">#REF!</definedName>
    <definedName name="_102___123Graph_ECHART_1G" hidden="1">#REF!</definedName>
    <definedName name="_102__123Graph_ECHART_1G" hidden="1">#REF!</definedName>
    <definedName name="_103____123Graph_ECHART_2" hidden="1">#REF!</definedName>
    <definedName name="_103___123Graph_ECHART_2" hidden="1">#REF!</definedName>
    <definedName name="_103__123Graph_ECHART_2" hidden="1">#REF!</definedName>
    <definedName name="_104____123Graph_ECHART_3" hidden="1">#REF!</definedName>
    <definedName name="_104___123Graph_ECHART_3" hidden="1">#REF!</definedName>
    <definedName name="_104__123Graph_ECHART_3" hidden="1">#REF!</definedName>
    <definedName name="_105____123Graph_ECHART_4" hidden="1">#REF!</definedName>
    <definedName name="_105___123Graph_ECHART_4" hidden="1">#REF!</definedName>
    <definedName name="_105__123Graph_ECHART_4" hidden="1">#REF!</definedName>
    <definedName name="_106____123Graph_ECHART_5" hidden="1">#REF!</definedName>
    <definedName name="_106___123Graph_ECHART_5" hidden="1">#REF!</definedName>
    <definedName name="_106__123Graph_ECHART_5" hidden="1">#REF!</definedName>
    <definedName name="_107____123Graph_ECHART_6" hidden="1">#REF!</definedName>
    <definedName name="_107___123Graph_ECHART_6" hidden="1">#REF!</definedName>
    <definedName name="_107__123Graph_ECHART_6" hidden="1">#REF!</definedName>
    <definedName name="_108____123Graph_ECHART_7" hidden="1">#REF!</definedName>
    <definedName name="_108___123Graph_ECHART_7" hidden="1">#REF!</definedName>
    <definedName name="_108__123Graph_ECHART_7" hidden="1">#REF!</definedName>
    <definedName name="_109____123Graph_ECHART_8" hidden="1">#REF!</definedName>
    <definedName name="_109___123Graph_ECHART_8" hidden="1">#REF!</definedName>
    <definedName name="_109__123Graph_ECHART_8" hidden="1">#REF!</definedName>
    <definedName name="_11_____123Graph_BCHART_11" hidden="1">#REF!</definedName>
    <definedName name="_11____123Graph_BCHART_11" hidden="1">#REF!</definedName>
    <definedName name="_11___123Graph_BCHART_11" hidden="1">#REF!</definedName>
    <definedName name="_11__123Graph_BCHART_11" hidden="1">#REF!</definedName>
    <definedName name="_110____123Graph_ECHART_9" hidden="1">#REF!</definedName>
    <definedName name="_110___123Graph_ECHART_9" hidden="1">#REF!</definedName>
    <definedName name="_110__123Graph_ECHART_9" hidden="1">#REF!</definedName>
    <definedName name="_111____123Graph_FCHART_10" hidden="1">#REF!</definedName>
    <definedName name="_111___123Graph_FCHART_10" hidden="1">#REF!</definedName>
    <definedName name="_111__123Graph_FCHART_10" hidden="1">#REF!</definedName>
    <definedName name="_112____123Graph_FCHART_11" hidden="1">#REF!</definedName>
    <definedName name="_112___123Graph_FCHART_11" hidden="1">#REF!</definedName>
    <definedName name="_112__123Graph_FCHART_11" hidden="1">#REF!</definedName>
    <definedName name="_113____123Graph_FCHART_1G" hidden="1">#REF!</definedName>
    <definedName name="_113___123Graph_FCHART_1G" hidden="1">#REF!</definedName>
    <definedName name="_113__123Graph_FCHART_1G" hidden="1">#REF!</definedName>
    <definedName name="_114____123Graph_FCHART_4" hidden="1">#REF!</definedName>
    <definedName name="_114___123Graph_FCHART_4" hidden="1">#REF!</definedName>
    <definedName name="_114__123Graph_FCHART_4" hidden="1">#REF!</definedName>
    <definedName name="_115____123Graph_FCHART_5" hidden="1">#REF!</definedName>
    <definedName name="_115___123Graph_FCHART_5" hidden="1">#REF!</definedName>
    <definedName name="_115__123Graph_FCHART_5" hidden="1">#REF!</definedName>
    <definedName name="_116____123Graph_FCHART_6" hidden="1">#REF!</definedName>
    <definedName name="_116___123Graph_FCHART_6" hidden="1">#REF!</definedName>
    <definedName name="_116__123Graph_FCHART_6" hidden="1">#REF!</definedName>
    <definedName name="_117____123Graph_FCHART_7" hidden="1">#REF!</definedName>
    <definedName name="_117___123Graph_FCHART_7" hidden="1">#REF!</definedName>
    <definedName name="_117__123Graph_FCHART_7" hidden="1">#REF!</definedName>
    <definedName name="_118____123Graph_FCHART_8" hidden="1">#REF!</definedName>
    <definedName name="_118___123Graph_FCHART_8" hidden="1">#REF!</definedName>
    <definedName name="_118__123Graph_FCHART_8" hidden="1">#REF!</definedName>
    <definedName name="_119____123Graph_FCHART_9" hidden="1">#REF!</definedName>
    <definedName name="_119___123Graph_FCHART_9" hidden="1">#REF!</definedName>
    <definedName name="_119__123Graph_FCHART_9" hidden="1">#REF!</definedName>
    <definedName name="_12_____123Graph_BCHART_1G" hidden="1">#REF!</definedName>
    <definedName name="_12____123Graph_BCHART_1G" hidden="1">#REF!</definedName>
    <definedName name="_12___123Graph_BCHART_1G" hidden="1">#REF!</definedName>
    <definedName name="_12__123Graph_BCHART_1G" hidden="1">#REF!</definedName>
    <definedName name="_120____123Graph_XCHART_10" hidden="1">#REF!</definedName>
    <definedName name="_120___123Graph_XCHART_10" hidden="1">#REF!</definedName>
    <definedName name="_120__123Graph_XCHART_10" hidden="1">#REF!</definedName>
    <definedName name="_121____123Graph_XCHART_11" hidden="1">#REF!</definedName>
    <definedName name="_121___123Graph_XCHART_11" hidden="1">#REF!</definedName>
    <definedName name="_121__123Graph_XCHART_11" hidden="1">#REF!</definedName>
    <definedName name="_122____123Graph_XCHART_5" hidden="1">#REF!</definedName>
    <definedName name="_122___123Graph_XCHART_5" hidden="1">#REF!</definedName>
    <definedName name="_122__123Graph_XCHART_5" hidden="1">#REF!</definedName>
    <definedName name="_123____123Graph_XCHART_6" hidden="1">#REF!</definedName>
    <definedName name="_123___123Graph_XCHART_6" hidden="1">#REF!</definedName>
    <definedName name="_123__123Graph_XCHART_6" hidden="1">#REF!</definedName>
    <definedName name="_124____123Graph_XCHART_7" hidden="1">#REF!</definedName>
    <definedName name="_124___123Graph_XCHART_7" hidden="1">#REF!</definedName>
    <definedName name="_124__123Graph_XCHART_7" hidden="1">#REF!</definedName>
    <definedName name="_125____123Graph_XCHART_8" hidden="1">#REF!</definedName>
    <definedName name="_125___123Graph_XCHART_8" hidden="1">#REF!</definedName>
    <definedName name="_125__123Graph_XCHART_8" hidden="1">#REF!</definedName>
    <definedName name="_126____123Graph_XCHART_9" hidden="1">#REF!</definedName>
    <definedName name="_126___123Graph_XCHART_9" hidden="1">#REF!</definedName>
    <definedName name="_126__123Graph_XCHART_9" hidden="1">#REF!</definedName>
    <definedName name="_127___123Graph_ACHART_10" hidden="1">#REF!</definedName>
    <definedName name="_127__123Graph_ACHART_10" hidden="1">#REF!</definedName>
    <definedName name="_128___123Graph_ACHART_11" hidden="1">#REF!</definedName>
    <definedName name="_128__123Graph_ACHART_11" hidden="1">#REF!</definedName>
    <definedName name="_129___123Graph_ACHART_1G" hidden="1">#REF!</definedName>
    <definedName name="_129__123Graph_ACHART_1G" hidden="1">#REF!</definedName>
    <definedName name="_13_____123Graph_BCHART_4" hidden="1">#REF!</definedName>
    <definedName name="_13____123Graph_BCHART_4" hidden="1">#REF!</definedName>
    <definedName name="_13___123Graph_BCHART_4" hidden="1">#REF!</definedName>
    <definedName name="_13__123Graph_BCHART_4" hidden="1">#REF!</definedName>
    <definedName name="_130___123Graph_ACHART_4" hidden="1">#REF!</definedName>
    <definedName name="_130__123Graph_ACHART_4" hidden="1">#REF!</definedName>
    <definedName name="_131___123Graph_ACHART_5" hidden="1">#REF!</definedName>
    <definedName name="_131__123Graph_ACHART_5" hidden="1">#REF!</definedName>
    <definedName name="_132___123Graph_ACHART_6" hidden="1">#REF!</definedName>
    <definedName name="_132__123Graph_ACHART_6" hidden="1">#REF!</definedName>
    <definedName name="_133___123Graph_ACHART_7" hidden="1">#REF!</definedName>
    <definedName name="_133__123Graph_ACHART_7" hidden="1">#REF!</definedName>
    <definedName name="_134___123Graph_ACHART_8" hidden="1">#REF!</definedName>
    <definedName name="_134__123Graph_ACHART_8" hidden="1">#REF!</definedName>
    <definedName name="_135___123Graph_ACHART_9" hidden="1">#REF!</definedName>
    <definedName name="_135__123Graph_ACHART_9" hidden="1">#REF!</definedName>
    <definedName name="_136___123Graph_BCHART_10" hidden="1">#REF!</definedName>
    <definedName name="_136__123Graph_BCHART_10" hidden="1">#REF!</definedName>
    <definedName name="_137___123Graph_BCHART_11" hidden="1">#REF!</definedName>
    <definedName name="_137__123Graph_BCHART_11" hidden="1">#REF!</definedName>
    <definedName name="_138___123Graph_BCHART_1G" hidden="1">#REF!</definedName>
    <definedName name="_138__123Graph_BCHART_1G" hidden="1">#REF!</definedName>
    <definedName name="_139___123Graph_BCHART_4" hidden="1">#REF!</definedName>
    <definedName name="_139__123Graph_BCHART_4" hidden="1">#REF!</definedName>
    <definedName name="_14_____123Graph_BCHART_5" hidden="1">#REF!</definedName>
    <definedName name="_14____123Graph_BCHART_5" hidden="1">#REF!</definedName>
    <definedName name="_14___123Graph_BCHART_5" hidden="1">#REF!</definedName>
    <definedName name="_14__123Graph_BCHART_5" hidden="1">#REF!</definedName>
    <definedName name="_140___123Graph_BCHART_5" hidden="1">#REF!</definedName>
    <definedName name="_140__123Graph_BCHART_5" hidden="1">#REF!</definedName>
    <definedName name="_141___123Graph_BCHART_6" hidden="1">#REF!</definedName>
    <definedName name="_141__123Graph_BCHART_6" hidden="1">#REF!</definedName>
    <definedName name="_142___123Graph_BCHART_7" hidden="1">#REF!</definedName>
    <definedName name="_142__123Graph_BCHART_7" hidden="1">#REF!</definedName>
    <definedName name="_143___123Graph_BCHART_8" hidden="1">#REF!</definedName>
    <definedName name="_143__123Graph_BCHART_8" hidden="1">#REF!</definedName>
    <definedName name="_144___123Graph_BCHART_9" hidden="1">#REF!</definedName>
    <definedName name="_144__123Graph_BCHART_9" hidden="1">#REF!</definedName>
    <definedName name="_145___123Graph_CCHART_10" hidden="1">#REF!</definedName>
    <definedName name="_145__123Graph_CCHART_10" hidden="1">#REF!</definedName>
    <definedName name="_146___123Graph_CCHART_11" hidden="1">#REF!</definedName>
    <definedName name="_146__123Graph_CCHART_11" hidden="1">#REF!</definedName>
    <definedName name="_147___123Graph_CCHART_1G" hidden="1">#REF!</definedName>
    <definedName name="_147__123Graph_CCHART_1G" hidden="1">#REF!</definedName>
    <definedName name="_148___123Graph_CCHART_4" hidden="1">#REF!</definedName>
    <definedName name="_148__123Graph_CCHART_4" hidden="1">#REF!</definedName>
    <definedName name="_149___123Graph_CCHART_5" hidden="1">#REF!</definedName>
    <definedName name="_149__123Graph_CCHART_5" hidden="1">#REF!</definedName>
    <definedName name="_15_____123Graph_BCHART_6" hidden="1">#REF!</definedName>
    <definedName name="_15____123Graph_BCHART_6" hidden="1">#REF!</definedName>
    <definedName name="_15___123Graph_BCHART_6" hidden="1">#REF!</definedName>
    <definedName name="_15__123Graph_BCHART_6" hidden="1">#REF!</definedName>
    <definedName name="_150___123Graph_CCHART_6" hidden="1">#REF!</definedName>
    <definedName name="_150__123Graph_CCHART_6" hidden="1">#REF!</definedName>
    <definedName name="_151___123Graph_CCHART_7" hidden="1">#REF!</definedName>
    <definedName name="_151__123Graph_CCHART_7" hidden="1">#REF!</definedName>
    <definedName name="_152___123Graph_CCHART_8" hidden="1">#REF!</definedName>
    <definedName name="_152__123Graph_CCHART_8" hidden="1">#REF!</definedName>
    <definedName name="_153___123Graph_CCHART_9" hidden="1">#REF!</definedName>
    <definedName name="_153__123Graph_CCHART_9" hidden="1">#REF!</definedName>
    <definedName name="_154___123Graph_DCHART_10" hidden="1">#REF!</definedName>
    <definedName name="_154__123Graph_DCHART_10" hidden="1">#REF!</definedName>
    <definedName name="_155___123Graph_DCHART_11" hidden="1">#REF!</definedName>
    <definedName name="_155__123Graph_DCHART_11" hidden="1">#REF!</definedName>
    <definedName name="_156___123Graph_DCHART_1G" hidden="1">#REF!</definedName>
    <definedName name="_156__123Graph_DCHART_1G" hidden="1">#REF!</definedName>
    <definedName name="_157___123Graph_DCHART_4" hidden="1">#REF!</definedName>
    <definedName name="_157__123Graph_DCHART_4" hidden="1">#REF!</definedName>
    <definedName name="_158___123Graph_DCHART_5" hidden="1">#REF!</definedName>
    <definedName name="_158__123Graph_DCHART_5" hidden="1">#REF!</definedName>
    <definedName name="_159___123Graph_DCHART_6" hidden="1">#REF!</definedName>
    <definedName name="_159__123Graph_DCHART_6" hidden="1">#REF!</definedName>
    <definedName name="_16_____123Graph_BCHART_7" hidden="1">#REF!</definedName>
    <definedName name="_16____123Graph_BCHART_7" hidden="1">#REF!</definedName>
    <definedName name="_16___123Graph_BCHART_7" hidden="1">#REF!</definedName>
    <definedName name="_16__123Graph_BCHART_7" hidden="1">#REF!</definedName>
    <definedName name="_160___123Graph_DCHART_7" hidden="1">#REF!</definedName>
    <definedName name="_160__123Graph_DCHART_7" hidden="1">#REF!</definedName>
    <definedName name="_161___123Graph_DCHART_8" hidden="1">#REF!</definedName>
    <definedName name="_161__123Graph_DCHART_8" hidden="1">#REF!</definedName>
    <definedName name="_162___123Graph_DCHART_9" hidden="1">#REF!</definedName>
    <definedName name="_162__123Graph_DCHART_9" hidden="1">#REF!</definedName>
    <definedName name="_163___123Graph_ECHART_10" hidden="1">#REF!</definedName>
    <definedName name="_163__123Graph_ECHART_10" hidden="1">#REF!</definedName>
    <definedName name="_164___123Graph_ECHART_11" hidden="1">#REF!</definedName>
    <definedName name="_164__123Graph_ECHART_11" hidden="1">#REF!</definedName>
    <definedName name="_165___123Graph_ECHART_1G" hidden="1">#REF!</definedName>
    <definedName name="_165__123Graph_ECHART_1G" hidden="1">#REF!</definedName>
    <definedName name="_166___123Graph_ECHART_2" hidden="1">#REF!</definedName>
    <definedName name="_166__123Graph_ECHART_2" hidden="1">#REF!</definedName>
    <definedName name="_167___123Graph_ECHART_3" hidden="1">#REF!</definedName>
    <definedName name="_167__123Graph_ECHART_3" hidden="1">#REF!</definedName>
    <definedName name="_168___123Graph_ECHART_4" hidden="1">#REF!</definedName>
    <definedName name="_168__123Graph_ECHART_4" hidden="1">#REF!</definedName>
    <definedName name="_169___123Graph_ECHART_5" hidden="1">#REF!</definedName>
    <definedName name="_169__123Graph_ECHART_5" hidden="1">#REF!</definedName>
    <definedName name="_17_____123Graph_BCHART_8" hidden="1">#REF!</definedName>
    <definedName name="_17____123Graph_BCHART_8" hidden="1">#REF!</definedName>
    <definedName name="_17___123Graph_BCHART_8" hidden="1">#REF!</definedName>
    <definedName name="_17__123Graph_BCHART_8" hidden="1">#REF!</definedName>
    <definedName name="_170___123Graph_ECHART_6" hidden="1">#REF!</definedName>
    <definedName name="_170__123Graph_ECHART_6" hidden="1">#REF!</definedName>
    <definedName name="_171___123Graph_ECHART_7" hidden="1">#REF!</definedName>
    <definedName name="_171__123Graph_ECHART_7" hidden="1">#REF!</definedName>
    <definedName name="_172___123Graph_ECHART_8" hidden="1">#REF!</definedName>
    <definedName name="_172__123Graph_ECHART_8" hidden="1">#REF!</definedName>
    <definedName name="_173___123Graph_ECHART_9" hidden="1">#REF!</definedName>
    <definedName name="_173__123Graph_ECHART_9" hidden="1">#REF!</definedName>
    <definedName name="_174___123Graph_FCHART_10" hidden="1">#REF!</definedName>
    <definedName name="_174__123Graph_FCHART_10" hidden="1">#REF!</definedName>
    <definedName name="_175___123Graph_FCHART_11" hidden="1">#REF!</definedName>
    <definedName name="_175__123Graph_FCHART_11" hidden="1">#REF!</definedName>
    <definedName name="_176___123Graph_FCHART_1G" hidden="1">#REF!</definedName>
    <definedName name="_176__123Graph_FCHART_1G" hidden="1">#REF!</definedName>
    <definedName name="_177___123Graph_FCHART_4" hidden="1">#REF!</definedName>
    <definedName name="_177__123Graph_FCHART_4" hidden="1">#REF!</definedName>
    <definedName name="_178___123Graph_FCHART_5" hidden="1">#REF!</definedName>
    <definedName name="_178__123Graph_FCHART_5" hidden="1">#REF!</definedName>
    <definedName name="_179___123Graph_FCHART_6" hidden="1">#REF!</definedName>
    <definedName name="_179__123Graph_FCHART_6" hidden="1">#REF!</definedName>
    <definedName name="_18_____123Graph_BCHART_9" hidden="1">#REF!</definedName>
    <definedName name="_18____123Graph_BCHART_9" hidden="1">#REF!</definedName>
    <definedName name="_18___123Graph_BCHART_9" hidden="1">#REF!</definedName>
    <definedName name="_18__123Graph_BCHART_9" hidden="1">#REF!</definedName>
    <definedName name="_180___123Graph_FCHART_7" hidden="1">#REF!</definedName>
    <definedName name="_180__123Graph_FCHART_7" hidden="1">#REF!</definedName>
    <definedName name="_181___123Graph_FCHART_8" hidden="1">#REF!</definedName>
    <definedName name="_181__123Graph_FCHART_8" hidden="1">#REF!</definedName>
    <definedName name="_182___123Graph_FCHART_9" hidden="1">#REF!</definedName>
    <definedName name="_182__123Graph_FCHART_9" hidden="1">#REF!</definedName>
    <definedName name="_183___123Graph_XCHART_10" hidden="1">#REF!</definedName>
    <definedName name="_183__123Graph_XCHART_10" hidden="1">#REF!</definedName>
    <definedName name="_184___123Graph_XCHART_11" hidden="1">#REF!</definedName>
    <definedName name="_184__123Graph_XCHART_11" hidden="1">#REF!</definedName>
    <definedName name="_185___123Graph_XCHART_5" hidden="1">#REF!</definedName>
    <definedName name="_185__123Graph_XCHART_5" hidden="1">#REF!</definedName>
    <definedName name="_186___123Graph_XCHART_6" hidden="1">#REF!</definedName>
    <definedName name="_186__123Graph_XCHART_6" hidden="1">#REF!</definedName>
    <definedName name="_187___123Graph_XCHART_7" hidden="1">#REF!</definedName>
    <definedName name="_187__123Graph_XCHART_7" hidden="1">#REF!</definedName>
    <definedName name="_188___123Graph_XCHART_8" hidden="1">#REF!</definedName>
    <definedName name="_188__123Graph_XCHART_8" hidden="1">#REF!</definedName>
    <definedName name="_189___123Graph_XCHART_9" hidden="1">#REF!</definedName>
    <definedName name="_189__123Graph_XCHART_9" hidden="1">#REF!</definedName>
    <definedName name="_19_____123Graph_CCHART_10" hidden="1">#REF!</definedName>
    <definedName name="_19____123Graph_CCHART_10" hidden="1">#REF!</definedName>
    <definedName name="_19___123Graph_CCHART_10" hidden="1">#REF!</definedName>
    <definedName name="_19__123Graph_CCHART_10" hidden="1">#REF!</definedName>
    <definedName name="_190__123Graph_ACHART_10" hidden="1">#REF!</definedName>
    <definedName name="_191__123Graph_ACHART_11" hidden="1">#REF!</definedName>
    <definedName name="_192__123Graph_ACHART_1G" hidden="1">#REF!</definedName>
    <definedName name="_193__123Graph_ACHART_4" hidden="1">#REF!</definedName>
    <definedName name="_194__123Graph_ACHART_5" hidden="1">#REF!</definedName>
    <definedName name="_195__123Graph_ACHART_6" hidden="1">#REF!</definedName>
    <definedName name="_196__123Graph_ACHART_7" hidden="1">#REF!</definedName>
    <definedName name="_197__123Graph_ACHART_8" hidden="1">#REF!</definedName>
    <definedName name="_198__123Graph_ACHART_9" hidden="1">#REF!</definedName>
    <definedName name="_199__123Graph_BCHART_10" hidden="1">#REF!</definedName>
    <definedName name="_2_____123Graph_ACHART_11" hidden="1">#REF!</definedName>
    <definedName name="_2____123Graph_ACHART_11" hidden="1">#REF!</definedName>
    <definedName name="_2___123Graph_ACHART_11" hidden="1">#REF!</definedName>
    <definedName name="_2__123Graph_ACHART_11" hidden="1">#REF!</definedName>
    <definedName name="_20_____123Graph_CCHART_11" hidden="1">#REF!</definedName>
    <definedName name="_20____123Graph_CCHART_11" hidden="1">#REF!</definedName>
    <definedName name="_20___123Graph_CCHART_11" hidden="1">#REF!</definedName>
    <definedName name="_20__123Graph_CCHART_11" hidden="1">#REF!</definedName>
    <definedName name="_200__123Graph_BCHART_11" hidden="1">#REF!</definedName>
    <definedName name="_201__123Graph_BCHART_1G" hidden="1">#REF!</definedName>
    <definedName name="_202__123Graph_BCHART_4" hidden="1">#REF!</definedName>
    <definedName name="_203__123Graph_BCHART_5" hidden="1">#REF!</definedName>
    <definedName name="_204__123Graph_BCHART_6" hidden="1">#REF!</definedName>
    <definedName name="_205__123Graph_BCHART_7" hidden="1">#REF!</definedName>
    <definedName name="_206__123Graph_BCHART_8" hidden="1">#REF!</definedName>
    <definedName name="_207__123Graph_BCHART_9" hidden="1">#REF!</definedName>
    <definedName name="_208__123Graph_CCHART_10" hidden="1">#REF!</definedName>
    <definedName name="_209__123Graph_CCHART_11" hidden="1">#REF!</definedName>
    <definedName name="_21_____123Graph_CCHART_1G" hidden="1">#REF!</definedName>
    <definedName name="_21____123Graph_CCHART_1G" hidden="1">#REF!</definedName>
    <definedName name="_21___123Graph_CCHART_1G" hidden="1">#REF!</definedName>
    <definedName name="_21__123Graph_CCHART_1G" hidden="1">#REF!</definedName>
    <definedName name="_210__123Graph_CCHART_1G" hidden="1">#REF!</definedName>
    <definedName name="_211__123Graph_CCHART_4" hidden="1">#REF!</definedName>
    <definedName name="_212__123Graph_CCHART_5" hidden="1">#REF!</definedName>
    <definedName name="_213__123Graph_CCHART_6" hidden="1">#REF!</definedName>
    <definedName name="_214__123Graph_CCHART_7" hidden="1">#REF!</definedName>
    <definedName name="_215__123Graph_CCHART_8" hidden="1">#REF!</definedName>
    <definedName name="_216__123Graph_CCHART_9" hidden="1">#REF!</definedName>
    <definedName name="_217__123Graph_DCHART_10" hidden="1">#REF!</definedName>
    <definedName name="_218__123Graph_DCHART_11" hidden="1">#REF!</definedName>
    <definedName name="_219__123Graph_DCHART_1G" hidden="1">#REF!</definedName>
    <definedName name="_22_____123Graph_CCHART_4" hidden="1">#REF!</definedName>
    <definedName name="_22____123Graph_CCHART_4" hidden="1">#REF!</definedName>
    <definedName name="_22___123Graph_CCHART_4" hidden="1">#REF!</definedName>
    <definedName name="_22__123Graph_CCHART_4" hidden="1">#REF!</definedName>
    <definedName name="_220__123Graph_DCHART_4" hidden="1">#REF!</definedName>
    <definedName name="_221__123Graph_DCHART_5" hidden="1">#REF!</definedName>
    <definedName name="_222__123Graph_DCHART_6" hidden="1">#REF!</definedName>
    <definedName name="_223__123Graph_DCHART_7" hidden="1">#REF!</definedName>
    <definedName name="_224__123Graph_DCHART_8" hidden="1">#REF!</definedName>
    <definedName name="_225__123Graph_DCHART_9" hidden="1">#REF!</definedName>
    <definedName name="_226__123Graph_ECHART_10" hidden="1">#REF!</definedName>
    <definedName name="_227__123Graph_ECHART_11" hidden="1">#REF!</definedName>
    <definedName name="_228__123Graph_ECHART_1G" hidden="1">#REF!</definedName>
    <definedName name="_229__123Graph_ECHART_2" hidden="1">#REF!</definedName>
    <definedName name="_23_____123Graph_CCHART_5" hidden="1">#REF!</definedName>
    <definedName name="_23____123Graph_CCHART_5" hidden="1">#REF!</definedName>
    <definedName name="_23___123Graph_CCHART_5" hidden="1">#REF!</definedName>
    <definedName name="_23__123Graph_CCHART_5" hidden="1">#REF!</definedName>
    <definedName name="_230__123Graph_ECHART_3" hidden="1">#REF!</definedName>
    <definedName name="_231__123Graph_ECHART_4" hidden="1">#REF!</definedName>
    <definedName name="_232__123Graph_ECHART_5" hidden="1">#REF!</definedName>
    <definedName name="_233__123Graph_ECHART_6" hidden="1">#REF!</definedName>
    <definedName name="_234__123Graph_ECHART_7" hidden="1">#REF!</definedName>
    <definedName name="_235__123Graph_ECHART_8" hidden="1">#REF!</definedName>
    <definedName name="_236__123Graph_ECHART_9" hidden="1">#REF!</definedName>
    <definedName name="_237__123Graph_FCHART_10" hidden="1">#REF!</definedName>
    <definedName name="_238__123Graph_FCHART_11" hidden="1">#REF!</definedName>
    <definedName name="_239__123Graph_FCHART_1G" hidden="1">#REF!</definedName>
    <definedName name="_24_____123Graph_CCHART_6" hidden="1">#REF!</definedName>
    <definedName name="_24____123Graph_CCHART_6" hidden="1">#REF!</definedName>
    <definedName name="_24___123Graph_CCHART_6" hidden="1">#REF!</definedName>
    <definedName name="_24__123Graph_CCHART_6" hidden="1">#REF!</definedName>
    <definedName name="_240__123Graph_FCHART_4" hidden="1">#REF!</definedName>
    <definedName name="_241__123Graph_FCHART_5" hidden="1">#REF!</definedName>
    <definedName name="_242__123Graph_FCHART_6" hidden="1">#REF!</definedName>
    <definedName name="_243__123Graph_FCHART_7" hidden="1">#REF!</definedName>
    <definedName name="_244__123Graph_FCHART_8" hidden="1">#REF!</definedName>
    <definedName name="_245__123Graph_FCHART_9" hidden="1">#REF!</definedName>
    <definedName name="_246__123Graph_XCHART_10" hidden="1">#REF!</definedName>
    <definedName name="_247__123Graph_XCHART_11" hidden="1">#REF!</definedName>
    <definedName name="_248__123Graph_XCHART_5" hidden="1">#REF!</definedName>
    <definedName name="_249__123Graph_XCHART_6" hidden="1">#REF!</definedName>
    <definedName name="_25_____123Graph_CCHART_7" hidden="1">#REF!</definedName>
    <definedName name="_25____123Graph_CCHART_7" hidden="1">#REF!</definedName>
    <definedName name="_25___123Graph_CCHART_7" hidden="1">#REF!</definedName>
    <definedName name="_25__123Graph_CCHART_7" hidden="1">#REF!</definedName>
    <definedName name="_250__123Graph_XCHART_7" hidden="1">#REF!</definedName>
    <definedName name="_251__123Graph_XCHART_8" hidden="1">#REF!</definedName>
    <definedName name="_252__123Graph_XCHART_9" hidden="1">#REF!</definedName>
    <definedName name="_26_____123Graph_CCHART_8" hidden="1">#REF!</definedName>
    <definedName name="_26____123Graph_CCHART_8" hidden="1">#REF!</definedName>
    <definedName name="_26___123Graph_CCHART_8" hidden="1">#REF!</definedName>
    <definedName name="_26__123Graph_CCHART_8" hidden="1">#REF!</definedName>
    <definedName name="_27_____123Graph_CCHART_9" hidden="1">#REF!</definedName>
    <definedName name="_27____123Graph_CCHART_9" hidden="1">#REF!</definedName>
    <definedName name="_27___123Graph_CCHART_9" hidden="1">#REF!</definedName>
    <definedName name="_27__123Graph_CCHART_9" hidden="1">#REF!</definedName>
    <definedName name="_28_____123Graph_DCHART_10" hidden="1">#REF!</definedName>
    <definedName name="_28____123Graph_DCHART_10" hidden="1">#REF!</definedName>
    <definedName name="_28___123Graph_DCHART_10" hidden="1">#REF!</definedName>
    <definedName name="_28__123Graph_DCHART_10" hidden="1">#REF!</definedName>
    <definedName name="_29_____123Graph_DCHART_11" hidden="1">#REF!</definedName>
    <definedName name="_29____123Graph_DCHART_11" hidden="1">#REF!</definedName>
    <definedName name="_29___123Graph_DCHART_11" hidden="1">#REF!</definedName>
    <definedName name="_29__123Graph_DCHART_11" hidden="1">#REF!</definedName>
    <definedName name="_3_____123Graph_ACHART_1G" hidden="1">#REF!</definedName>
    <definedName name="_3____123Graph_ACHART_1G" hidden="1">#REF!</definedName>
    <definedName name="_3___123Graph_ACHART_1G" hidden="1">#REF!</definedName>
    <definedName name="_3__123Graph_ACHART_1G" hidden="1">#REF!</definedName>
    <definedName name="_30_____123Graph_DCHART_1G" hidden="1">#REF!</definedName>
    <definedName name="_30____123Graph_DCHART_1G" hidden="1">#REF!</definedName>
    <definedName name="_30___123Graph_DCHART_1G" hidden="1">#REF!</definedName>
    <definedName name="_30__123Graph_DCHART_1G" hidden="1">#REF!</definedName>
    <definedName name="_31_____123Graph_DCHART_4" hidden="1">#REF!</definedName>
    <definedName name="_31____123Graph_DCHART_4" hidden="1">#REF!</definedName>
    <definedName name="_31___123Graph_DCHART_4" hidden="1">#REF!</definedName>
    <definedName name="_31__123Graph_DCHART_4" hidden="1">#REF!</definedName>
    <definedName name="_32_____123Graph_DCHART_5" hidden="1">#REF!</definedName>
    <definedName name="_32____123Graph_DCHART_5" hidden="1">#REF!</definedName>
    <definedName name="_32___123Graph_DCHART_5" hidden="1">#REF!</definedName>
    <definedName name="_32__123Graph_DCHART_5" hidden="1">#REF!</definedName>
    <definedName name="_33_____123Graph_DCHART_6" hidden="1">#REF!</definedName>
    <definedName name="_33____123Graph_DCHART_6" hidden="1">#REF!</definedName>
    <definedName name="_33___123Graph_DCHART_6" hidden="1">#REF!</definedName>
    <definedName name="_33__123Graph_DCHART_6" hidden="1">#REF!</definedName>
    <definedName name="_34_____123Graph_DCHART_7" hidden="1">#REF!</definedName>
    <definedName name="_34____123Graph_DCHART_7" hidden="1">#REF!</definedName>
    <definedName name="_34___123Graph_DCHART_7" hidden="1">#REF!</definedName>
    <definedName name="_34__123Graph_DCHART_7" hidden="1">#REF!</definedName>
    <definedName name="_35_____123Graph_DCHART_8" hidden="1">#REF!</definedName>
    <definedName name="_35____123Graph_DCHART_8" hidden="1">#REF!</definedName>
    <definedName name="_35___123Graph_DCHART_8" hidden="1">#REF!</definedName>
    <definedName name="_35__123Graph_DCHART_8" hidden="1">#REF!</definedName>
    <definedName name="_36_____123Graph_DCHART_9" hidden="1">#REF!</definedName>
    <definedName name="_36____123Graph_DCHART_9" hidden="1">#REF!</definedName>
    <definedName name="_36___123Graph_DCHART_9" hidden="1">#REF!</definedName>
    <definedName name="_36__123Graph_DCHART_9" hidden="1">#REF!</definedName>
    <definedName name="_37_____123Graph_ECHART_10" hidden="1">#REF!</definedName>
    <definedName name="_37____123Graph_ECHART_10" hidden="1">#REF!</definedName>
    <definedName name="_37___123Graph_ECHART_10" hidden="1">#REF!</definedName>
    <definedName name="_37__123Graph_ECHART_10" hidden="1">#REF!</definedName>
    <definedName name="_38_____123Graph_ECHART_11" hidden="1">#REF!</definedName>
    <definedName name="_38____123Graph_ECHART_11" hidden="1">#REF!</definedName>
    <definedName name="_38___123Graph_ECHART_11" hidden="1">#REF!</definedName>
    <definedName name="_38__123Graph_ECHART_11" hidden="1">#REF!</definedName>
    <definedName name="_39_____123Graph_ECHART_1G" hidden="1">#REF!</definedName>
    <definedName name="_39____123Graph_ECHART_1G" hidden="1">#REF!</definedName>
    <definedName name="_39___123Graph_ECHART_1G" hidden="1">#REF!</definedName>
    <definedName name="_39__123Graph_ECHART_1G" hidden="1">#REF!</definedName>
    <definedName name="_4_____123Graph_ACHART_4" hidden="1">#REF!</definedName>
    <definedName name="_4____123Graph_ACHART_4" hidden="1">#REF!</definedName>
    <definedName name="_4___123Graph_ACHART_4" hidden="1">#REF!</definedName>
    <definedName name="_4__123Graph_ACHART_4" hidden="1">#REF!</definedName>
    <definedName name="_40_____123Graph_ECHART_2" hidden="1">#REF!</definedName>
    <definedName name="_40____123Graph_ECHART_2" hidden="1">#REF!</definedName>
    <definedName name="_40___123Graph_ECHART_2" hidden="1">#REF!</definedName>
    <definedName name="_40__123Graph_ECHART_2" hidden="1">#REF!</definedName>
    <definedName name="_41_____123Graph_ECHART_3" hidden="1">#REF!</definedName>
    <definedName name="_41____123Graph_ECHART_3" hidden="1">#REF!</definedName>
    <definedName name="_41___123Graph_ECHART_3" hidden="1">#REF!</definedName>
    <definedName name="_41__123Graph_ECHART_3" hidden="1">#REF!</definedName>
    <definedName name="_42_____123Graph_ECHART_4" hidden="1">#REF!</definedName>
    <definedName name="_42____123Graph_ECHART_4" hidden="1">#REF!</definedName>
    <definedName name="_42___123Graph_ECHART_4" hidden="1">#REF!</definedName>
    <definedName name="_42__123Graph_ECHART_4" hidden="1">#REF!</definedName>
    <definedName name="_43_____123Graph_ECHART_5" hidden="1">#REF!</definedName>
    <definedName name="_43____123Graph_ECHART_5" hidden="1">#REF!</definedName>
    <definedName name="_43___123Graph_ECHART_5" hidden="1">#REF!</definedName>
    <definedName name="_43__123Graph_ECHART_5" hidden="1">#REF!</definedName>
    <definedName name="_44_____123Graph_ECHART_6" hidden="1">#REF!</definedName>
    <definedName name="_44____123Graph_ECHART_6" hidden="1">#REF!</definedName>
    <definedName name="_44___123Graph_ECHART_6" hidden="1">#REF!</definedName>
    <definedName name="_44__123Graph_ECHART_6" hidden="1">#REF!</definedName>
    <definedName name="_45_____123Graph_ECHART_7" hidden="1">#REF!</definedName>
    <definedName name="_45____123Graph_ECHART_7" hidden="1">#REF!</definedName>
    <definedName name="_45___123Graph_ECHART_7" hidden="1">#REF!</definedName>
    <definedName name="_45__123Graph_ECHART_7" hidden="1">#REF!</definedName>
    <definedName name="_46_____123Graph_ECHART_8" hidden="1">#REF!</definedName>
    <definedName name="_46____123Graph_ECHART_8" hidden="1">#REF!</definedName>
    <definedName name="_46___123Graph_ECHART_8" hidden="1">#REF!</definedName>
    <definedName name="_46__123Graph_ECHART_8" hidden="1">#REF!</definedName>
    <definedName name="_47_____123Graph_ECHART_9" hidden="1">#REF!</definedName>
    <definedName name="_47____123Graph_ECHART_9" hidden="1">#REF!</definedName>
    <definedName name="_47___123Graph_ECHART_9" hidden="1">#REF!</definedName>
    <definedName name="_47__123Graph_ECHART_9" hidden="1">#REF!</definedName>
    <definedName name="_48_____123Graph_FCHART_10" hidden="1">#REF!</definedName>
    <definedName name="_48____123Graph_FCHART_10" hidden="1">#REF!</definedName>
    <definedName name="_48___123Graph_FCHART_10" hidden="1">#REF!</definedName>
    <definedName name="_48__123Graph_FCHART_10" hidden="1">#REF!</definedName>
    <definedName name="_49_____123Graph_FCHART_11" hidden="1">#REF!</definedName>
    <definedName name="_49____123Graph_FCHART_11" hidden="1">#REF!</definedName>
    <definedName name="_49___123Graph_FCHART_11" hidden="1">#REF!</definedName>
    <definedName name="_49__123Graph_FCHART_11" hidden="1">#REF!</definedName>
    <definedName name="_5_____123Graph_ACHART_5" hidden="1">#REF!</definedName>
    <definedName name="_5____123Graph_ACHART_5" hidden="1">#REF!</definedName>
    <definedName name="_5___123Graph_ACHART_5" hidden="1">#REF!</definedName>
    <definedName name="_5__123Graph_ACHART_5" hidden="1">#REF!</definedName>
    <definedName name="_50_____123Graph_FCHART_1G" hidden="1">#REF!</definedName>
    <definedName name="_50____123Graph_FCHART_1G" hidden="1">#REF!</definedName>
    <definedName name="_50___123Graph_FCHART_1G" hidden="1">#REF!</definedName>
    <definedName name="_50__123Graph_FCHART_1G" hidden="1">#REF!</definedName>
    <definedName name="_51_____123Graph_FCHART_4" hidden="1">#REF!</definedName>
    <definedName name="_51____123Graph_FCHART_4" hidden="1">#REF!</definedName>
    <definedName name="_51___123Graph_FCHART_4" hidden="1">#REF!</definedName>
    <definedName name="_51__123Graph_FCHART_4" hidden="1">#REF!</definedName>
    <definedName name="_52_____123Graph_FCHART_5" hidden="1">#REF!</definedName>
    <definedName name="_52____123Graph_FCHART_5" hidden="1">#REF!</definedName>
    <definedName name="_52___123Graph_FCHART_5" hidden="1">#REF!</definedName>
    <definedName name="_52__123Graph_FCHART_5" hidden="1">#REF!</definedName>
    <definedName name="_53_____123Graph_FCHART_6" hidden="1">#REF!</definedName>
    <definedName name="_53____123Graph_FCHART_6" hidden="1">#REF!</definedName>
    <definedName name="_53___123Graph_FCHART_6" hidden="1">#REF!</definedName>
    <definedName name="_53__123Graph_FCHART_6" hidden="1">#REF!</definedName>
    <definedName name="_54_____123Graph_FCHART_7" hidden="1">#REF!</definedName>
    <definedName name="_54____123Graph_FCHART_7" hidden="1">#REF!</definedName>
    <definedName name="_54___123Graph_FCHART_7" hidden="1">#REF!</definedName>
    <definedName name="_54__123Graph_FCHART_7" hidden="1">#REF!</definedName>
    <definedName name="_55_____123Graph_FCHART_8" hidden="1">#REF!</definedName>
    <definedName name="_55____123Graph_FCHART_8" hidden="1">#REF!</definedName>
    <definedName name="_55___123Graph_FCHART_8" hidden="1">#REF!</definedName>
    <definedName name="_55__123Graph_FCHART_8" hidden="1">#REF!</definedName>
    <definedName name="_56_____123Graph_FCHART_9" hidden="1">#REF!</definedName>
    <definedName name="_56____123Graph_FCHART_9" hidden="1">#REF!</definedName>
    <definedName name="_56___123Graph_FCHART_9" hidden="1">#REF!</definedName>
    <definedName name="_56__123Graph_FCHART_9" hidden="1">#REF!</definedName>
    <definedName name="_57_____123Graph_XCHART_10" hidden="1">#REF!</definedName>
    <definedName name="_57____123Graph_XCHART_10" hidden="1">#REF!</definedName>
    <definedName name="_57___123Graph_XCHART_10" hidden="1">#REF!</definedName>
    <definedName name="_57__123Graph_XCHART_10" hidden="1">#REF!</definedName>
    <definedName name="_58_____123Graph_XCHART_11" hidden="1">#REF!</definedName>
    <definedName name="_58____123Graph_XCHART_11" hidden="1">#REF!</definedName>
    <definedName name="_58___123Graph_XCHART_11" hidden="1">#REF!</definedName>
    <definedName name="_58__123Graph_XCHART_11" hidden="1">#REF!</definedName>
    <definedName name="_59_____123Graph_XCHART_5" hidden="1">#REF!</definedName>
    <definedName name="_59____123Graph_XCHART_5" hidden="1">#REF!</definedName>
    <definedName name="_59___123Graph_XCHART_5" hidden="1">#REF!</definedName>
    <definedName name="_59__123Graph_XCHART_5" hidden="1">#REF!</definedName>
    <definedName name="_6_____123Graph_ACHART_6" hidden="1">#REF!</definedName>
    <definedName name="_6____123Graph_ACHART_6" hidden="1">#REF!</definedName>
    <definedName name="_6___123Graph_ACHART_6" hidden="1">#REF!</definedName>
    <definedName name="_6__123Graph_ACHART_6" hidden="1">#REF!</definedName>
    <definedName name="_60_____123Graph_XCHART_6" hidden="1">#REF!</definedName>
    <definedName name="_60____123Graph_XCHART_6" hidden="1">#REF!</definedName>
    <definedName name="_60___123Graph_XCHART_6" hidden="1">#REF!</definedName>
    <definedName name="_60__123Graph_XCHART_6" hidden="1">#REF!</definedName>
    <definedName name="_61_____123Graph_XCHART_7" hidden="1">#REF!</definedName>
    <definedName name="_61____123Graph_XCHART_7" hidden="1">#REF!</definedName>
    <definedName name="_61___123Graph_XCHART_7" hidden="1">#REF!</definedName>
    <definedName name="_61__123Graph_XCHART_7" hidden="1">#REF!</definedName>
    <definedName name="_62_____123Graph_XCHART_8" hidden="1">#REF!</definedName>
    <definedName name="_62____123Graph_XCHART_8" hidden="1">#REF!</definedName>
    <definedName name="_62___123Graph_XCHART_8" hidden="1">#REF!</definedName>
    <definedName name="_62__123Graph_XCHART_8" hidden="1">#REF!</definedName>
    <definedName name="_63_____123Graph_XCHART_9" hidden="1">#REF!</definedName>
    <definedName name="_63____123Graph_XCHART_9" hidden="1">#REF!</definedName>
    <definedName name="_63___123Graph_XCHART_9" hidden="1">#REF!</definedName>
    <definedName name="_63__123Graph_XCHART_9" hidden="1">#REF!</definedName>
    <definedName name="_64____123Graph_ACHART_10" hidden="1">#REF!</definedName>
    <definedName name="_64___123Graph_ACHART_10" hidden="1">#REF!</definedName>
    <definedName name="_64__123Graph_ACHART_10" hidden="1">#REF!</definedName>
    <definedName name="_64MAY">'[4]APRIL-Retro'!$Z$4:$AA$14</definedName>
    <definedName name="_65____123Graph_ACHART_11" hidden="1">#REF!</definedName>
    <definedName name="_65___123Graph_ACHART_11" hidden="1">#REF!</definedName>
    <definedName name="_65__123Graph_ACHART_11" hidden="1">#REF!</definedName>
    <definedName name="_66____123Graph_ACHART_1G" hidden="1">#REF!</definedName>
    <definedName name="_66___123Graph_ACHART_1G" hidden="1">#REF!</definedName>
    <definedName name="_66__123Graph_ACHART_1G" hidden="1">#REF!</definedName>
    <definedName name="_67____123Graph_ACHART_4" hidden="1">#REF!</definedName>
    <definedName name="_67___123Graph_ACHART_4" hidden="1">#REF!</definedName>
    <definedName name="_67__123Graph_ACHART_4" hidden="1">#REF!</definedName>
    <definedName name="_68____123Graph_ACHART_5" hidden="1">#REF!</definedName>
    <definedName name="_68___123Graph_ACHART_5" hidden="1">#REF!</definedName>
    <definedName name="_68__123Graph_ACHART_5" hidden="1">#REF!</definedName>
    <definedName name="_69____123Graph_ACHART_6" hidden="1">#REF!</definedName>
    <definedName name="_69___123Graph_ACHART_6" hidden="1">#REF!</definedName>
    <definedName name="_69__123Graph_ACHART_6" hidden="1">#REF!</definedName>
    <definedName name="_7_____123Graph_ACHART_7" hidden="1">#REF!</definedName>
    <definedName name="_7____123Graph_ACHART_7" hidden="1">#REF!</definedName>
    <definedName name="_7___123Graph_ACHART_7" hidden="1">#REF!</definedName>
    <definedName name="_7__123Graph_ACHART_7" hidden="1">#REF!</definedName>
    <definedName name="_70____123Graph_ACHART_7" hidden="1">#REF!</definedName>
    <definedName name="_70___123Graph_ACHART_7" hidden="1">#REF!</definedName>
    <definedName name="_70__123Graph_ACHART_7" hidden="1">#REF!</definedName>
    <definedName name="_71____123Graph_ACHART_8" hidden="1">#REF!</definedName>
    <definedName name="_71___123Graph_ACHART_8" hidden="1">#REF!</definedName>
    <definedName name="_71__123Graph_ACHART_8" hidden="1">#REF!</definedName>
    <definedName name="_72____123Graph_ACHART_9" hidden="1">#REF!</definedName>
    <definedName name="_72___123Graph_ACHART_9" hidden="1">#REF!</definedName>
    <definedName name="_72__123Graph_ACHART_9" hidden="1">#REF!</definedName>
    <definedName name="_73____123Graph_BCHART_10" hidden="1">#REF!</definedName>
    <definedName name="_73___123Graph_BCHART_10" hidden="1">#REF!</definedName>
    <definedName name="_73__123Graph_BCHART_10" hidden="1">#REF!</definedName>
    <definedName name="_74____123Graph_BCHART_11" hidden="1">#REF!</definedName>
    <definedName name="_74___123Graph_BCHART_11" hidden="1">#REF!</definedName>
    <definedName name="_74__123Graph_BCHART_11" hidden="1">#REF!</definedName>
    <definedName name="_75____123Graph_BCHART_1G" hidden="1">#REF!</definedName>
    <definedName name="_75___123Graph_BCHART_1G" hidden="1">#REF!</definedName>
    <definedName name="_75__123Graph_BCHART_1G" hidden="1">#REF!</definedName>
    <definedName name="_76____123Graph_BCHART_4" hidden="1">#REF!</definedName>
    <definedName name="_76___123Graph_BCHART_4" hidden="1">#REF!</definedName>
    <definedName name="_76__123Graph_BCHART_4" hidden="1">#REF!</definedName>
    <definedName name="_77____123Graph_BCHART_5" hidden="1">#REF!</definedName>
    <definedName name="_77___123Graph_BCHART_5" hidden="1">#REF!</definedName>
    <definedName name="_77__123Graph_BCHART_5" hidden="1">#REF!</definedName>
    <definedName name="_78____123Graph_BCHART_6" hidden="1">#REF!</definedName>
    <definedName name="_78___123Graph_BCHART_6" hidden="1">#REF!</definedName>
    <definedName name="_78__123Graph_BCHART_6" hidden="1">#REF!</definedName>
    <definedName name="_79____123Graph_BCHART_7" hidden="1">#REF!</definedName>
    <definedName name="_79___123Graph_BCHART_7" hidden="1">#REF!</definedName>
    <definedName name="_79__123Graph_BCHART_7" hidden="1">#REF!</definedName>
    <definedName name="_8_____123Graph_ACHART_8" hidden="1">#REF!</definedName>
    <definedName name="_8____123Graph_ACHART_8" hidden="1">#REF!</definedName>
    <definedName name="_8___123Graph_ACHART_8" hidden="1">#REF!</definedName>
    <definedName name="_8__123Graph_ACHART_8" hidden="1">#REF!</definedName>
    <definedName name="_80____123Graph_BCHART_8" hidden="1">#REF!</definedName>
    <definedName name="_80___123Graph_BCHART_8" hidden="1">#REF!</definedName>
    <definedName name="_80__123Graph_BCHART_8" hidden="1">#REF!</definedName>
    <definedName name="_81____123Graph_BCHART_9" hidden="1">#REF!</definedName>
    <definedName name="_81___123Graph_BCHART_9" hidden="1">#REF!</definedName>
    <definedName name="_81__123Graph_BCHART_9" hidden="1">#REF!</definedName>
    <definedName name="_82____123Graph_CCHART_10" hidden="1">#REF!</definedName>
    <definedName name="_82___123Graph_CCHART_10" hidden="1">#REF!</definedName>
    <definedName name="_82__123Graph_CCHART_10" hidden="1">#REF!</definedName>
    <definedName name="_83____123Graph_CCHART_11" hidden="1">#REF!</definedName>
    <definedName name="_83___123Graph_CCHART_11" hidden="1">#REF!</definedName>
    <definedName name="_83__123Graph_CCHART_11" hidden="1">#REF!</definedName>
    <definedName name="_84____123Graph_CCHART_1G" hidden="1">#REF!</definedName>
    <definedName name="_84___123Graph_CCHART_1G" hidden="1">#REF!</definedName>
    <definedName name="_84__123Graph_CCHART_1G" hidden="1">#REF!</definedName>
    <definedName name="_85____123Graph_CCHART_4" hidden="1">#REF!</definedName>
    <definedName name="_85___123Graph_CCHART_4" hidden="1">#REF!</definedName>
    <definedName name="_85__123Graph_CCHART_4" hidden="1">#REF!</definedName>
    <definedName name="_86____123Graph_CCHART_5" hidden="1">#REF!</definedName>
    <definedName name="_86___123Graph_CCHART_5" hidden="1">#REF!</definedName>
    <definedName name="_86__123Graph_CCHART_5" hidden="1">#REF!</definedName>
    <definedName name="_87____123Graph_CCHART_6" hidden="1">#REF!</definedName>
    <definedName name="_87___123Graph_CCHART_6" hidden="1">#REF!</definedName>
    <definedName name="_87__123Graph_CCHART_6" hidden="1">#REF!</definedName>
    <definedName name="_88____123Graph_CCHART_7" hidden="1">#REF!</definedName>
    <definedName name="_88___123Graph_CCHART_7" hidden="1">#REF!</definedName>
    <definedName name="_88__123Graph_CCHART_7" hidden="1">#REF!</definedName>
    <definedName name="_89____123Graph_CCHART_8" hidden="1">#REF!</definedName>
    <definedName name="_89___123Graph_CCHART_8" hidden="1">#REF!</definedName>
    <definedName name="_89__123Graph_CCHART_8" hidden="1">#REF!</definedName>
    <definedName name="_9_____123Graph_ACHART_9" hidden="1">#REF!</definedName>
    <definedName name="_9____123Graph_ACHART_9" hidden="1">#REF!</definedName>
    <definedName name="_9___123Graph_ACHART_9" hidden="1">#REF!</definedName>
    <definedName name="_9__123Graph_ACHART_9" hidden="1">#REF!</definedName>
    <definedName name="_90____123Graph_CCHART_9" hidden="1">#REF!</definedName>
    <definedName name="_90___123Graph_CCHART_9" hidden="1">#REF!</definedName>
    <definedName name="_90__123Graph_CCHART_9" hidden="1">#REF!</definedName>
    <definedName name="_91____123Graph_DCHART_10" hidden="1">#REF!</definedName>
    <definedName name="_91___123Graph_DCHART_10" hidden="1">#REF!</definedName>
    <definedName name="_91__123Graph_DCHART_10" hidden="1">#REF!</definedName>
    <definedName name="_92____123Graph_DCHART_11" hidden="1">#REF!</definedName>
    <definedName name="_92___123Graph_DCHART_11" hidden="1">#REF!</definedName>
    <definedName name="_92__123Graph_DCHART_11" hidden="1">#REF!</definedName>
    <definedName name="_93____123Graph_DCHART_1G" hidden="1">#REF!</definedName>
    <definedName name="_93___123Graph_DCHART_1G" hidden="1">#REF!</definedName>
    <definedName name="_93__123Graph_DCHART_1G" hidden="1">#REF!</definedName>
    <definedName name="_94____123Graph_DCHART_4" hidden="1">#REF!</definedName>
    <definedName name="_94___123Graph_DCHART_4" hidden="1">#REF!</definedName>
    <definedName name="_94__123Graph_DCHART_4" hidden="1">#REF!</definedName>
    <definedName name="_95____123Graph_DCHART_5" hidden="1">#REF!</definedName>
    <definedName name="_95___123Graph_DCHART_5" hidden="1">#REF!</definedName>
    <definedName name="_95__123Graph_DCHART_5" hidden="1">#REF!</definedName>
    <definedName name="_96____123Graph_DCHART_6" hidden="1">#REF!</definedName>
    <definedName name="_96___123Graph_DCHART_6" hidden="1">#REF!</definedName>
    <definedName name="_96__123Graph_DCHART_6" hidden="1">#REF!</definedName>
    <definedName name="_97____123Graph_DCHART_7" hidden="1">#REF!</definedName>
    <definedName name="_97___123Graph_DCHART_7" hidden="1">#REF!</definedName>
    <definedName name="_97__123Graph_DCHART_7" hidden="1">#REF!</definedName>
    <definedName name="_98____123Graph_DCHART_8" hidden="1">#REF!</definedName>
    <definedName name="_98___123Graph_DCHART_8" hidden="1">#REF!</definedName>
    <definedName name="_98__123Graph_DCHART_8" hidden="1">#REF!</definedName>
    <definedName name="_99____123Graph_DCHART_9" hidden="1">#REF!</definedName>
    <definedName name="_99___123Graph_DCHART_9" hidden="1">#REF!</definedName>
    <definedName name="_99__123Graph_DCHART_9" hidden="1">#REF!</definedName>
    <definedName name="_Fill" hidden="1">#REF!</definedName>
    <definedName name="_xlnm._FilterDatabase" localSheetId="0" hidden="1">'List งานทะเบียนภาษี'!$A$1:$AB$52</definedName>
    <definedName name="_xlnm._FilterDatabase" localSheetId="2" hidden="1">เครื่องจักรกล!$A$3:$X$85</definedName>
    <definedName name="_MO1">#REF!</definedName>
    <definedName name="_MO10">#REF!</definedName>
    <definedName name="_MO11">#REF!</definedName>
    <definedName name="_MO12">#REF!</definedName>
    <definedName name="_MO2">#REF!</definedName>
    <definedName name="_MO3">#REF!</definedName>
    <definedName name="_MO4">#REF!</definedName>
    <definedName name="_MO5">#REF!</definedName>
    <definedName name="_MO6">#REF!</definedName>
    <definedName name="_MO7">#REF!</definedName>
    <definedName name="_MO8">#REF!</definedName>
    <definedName name="_MO9">#REF!</definedName>
    <definedName name="_Order1" hidden="1">0</definedName>
    <definedName name="_Order2" hidden="1">255</definedName>
    <definedName name="A">#REF!</definedName>
    <definedName name="aa">[5]Sub!#REF!</definedName>
    <definedName name="aaa" localSheetId="0">{"Client Name or Project Name"}</definedName>
    <definedName name="aaa">{"Client Name or Project Name"}</definedName>
    <definedName name="aaaaaa">#REF!</definedName>
    <definedName name="All_InputSell">[6]Input_Allocate!$G$25:$G$54,[6]Input_Allocate!$I$25:$I$54,[6]Input_Allocate!$K$25:$M$54</definedName>
    <definedName name="as">#REF!</definedName>
    <definedName name="AssBase_BaseYear">#REF!</definedName>
    <definedName name="AssBase_Case">#REF!</definedName>
    <definedName name="AssBase_Date">#REF!</definedName>
    <definedName name="AssBase_DisC">#REF!</definedName>
    <definedName name="AssBase_File">#REF!</definedName>
    <definedName name="B">#REF!</definedName>
    <definedName name="ba">#REF!</definedName>
    <definedName name="bb">[7]level_all!$E$3:$K$15</definedName>
    <definedName name="BLG">[7]level_all!$FH$2:$FQ$15</definedName>
    <definedName name="BO_THONG_INDUSTRIAL_ZONE">#REF!</definedName>
    <definedName name="C_">#REF!</definedName>
    <definedName name="Cal_Inputdata">[6]Cal_Project!$D$3:$D$4,[6]Cal_Project!$D$6:$F$6,[6]Cal_Project!$D$7:$D$10,[6]Cal_Project!$D$12,[6]Cal_Project!$G$7:$G$8,[6]Cal_Project!$J$8:$J$9,[6]Cal_Project!$L$9:$L$11,[6]Cal_Project!$D$16:$I$45,[6]Cal_Project!$O$16:$AB$45,[6]Cal_Project!$AE$16:$AF$45,[6]Cal_Project!$AH$16:$AH$45</definedName>
    <definedName name="Cap_Case">#REF!</definedName>
    <definedName name="Cap_Date">#REF!</definedName>
    <definedName name="Cap_File">#REF!</definedName>
    <definedName name="Cap_Land">#REF!</definedName>
    <definedName name="Cap_PBYear">#REF!</definedName>
    <definedName name="Cap_PCOD">#REF!</definedName>
    <definedName name="Cap_PCode">#REF!</definedName>
    <definedName name="Cap_PerDamLine">#REF!</definedName>
    <definedName name="Cap_PExc">#REF!</definedName>
    <definedName name="Cap_PFYear">#REF!</definedName>
    <definedName name="Cap_PIDCC">#REF!</definedName>
    <definedName name="Cap_PIDCF">#REF!</definedName>
    <definedName name="Cap_PIDCL">#REF!</definedName>
    <definedName name="Cap_PLYEscF">#REF!</definedName>
    <definedName name="Cap_PLYEscL">#REF!</definedName>
    <definedName name="Cap_PName">#REF!</definedName>
    <definedName name="Cap_PSYear">#REF!</definedName>
    <definedName name="Cap_ROW">#REF!</definedName>
    <definedName name="Cap_Source">#REF!</definedName>
    <definedName name="Cap_SourceName">#REF!</definedName>
    <definedName name="CLB">[7]level_all!$DQ$2:$DZ$15</definedName>
    <definedName name="Col_Dep">#REF!</definedName>
    <definedName name="Col_Eng">#REF!</definedName>
    <definedName name="Col_Ins">#REF!</definedName>
    <definedName name="Col_Month">#REF!</definedName>
    <definedName name="Col_MW">#REF!</definedName>
    <definedName name="Col_Not">#REF!</definedName>
    <definedName name="Col_Note">#REF!</definedName>
    <definedName name="Col_ower">#REF!</definedName>
    <definedName name="Col_PF">#REF!</definedName>
    <definedName name="Col_PT">#REF!</definedName>
    <definedName name="Col_Rig">#REF!</definedName>
    <definedName name="Col_Sort">#REF!</definedName>
    <definedName name="Col_thai">#REF!</definedName>
    <definedName name="Col_unit">#REF!</definedName>
    <definedName name="Col_Year">#REF!</definedName>
    <definedName name="CRUDE">[8]Assumptions!$C$12:$AQ$12</definedName>
    <definedName name="CY">[9]Sheet3!$C$2</definedName>
    <definedName name="D">#REF!</definedName>
    <definedName name="_xlnm.Database">#REF!</definedName>
    <definedName name="Depen_Data">#REF!</definedName>
    <definedName name="DumAll_Input">[6]Dum_AllocateIDC!$M$41:$O$41,[6]Dum_AllocateIDC!$N$43:$O$72,[6]Dum_AllocateIDC!$T$41:$V$41,[6]Dum_AllocateIDC!$U$43:$V$72,[6]Dum_AllocateIDC!$AA$41:$AC$41,[6]Dum_AllocateIDC!$AB$43:$AC$72,[6]Dum_AllocateIDC!$AH$41:$AJ$41,[6]Dum_AllocateIDC!$AI$43:$AJ$72,[6]Dum_AllocateIDC!$AO$41:$AQ$41,[6]Dum_AllocateIDC!$AP$43:$AQ$72,[6]Dum_AllocateIDC!$AV$41:$AX$41,[6]Dum_AllocateIDC!$AW$43:$AX$72,[6]Dum_AllocateIDC!$BC$41:$BE$41,[6]Dum_AllocateIDC!$BD$43:$BE$72,[6]Dum_AllocateIDC!$BJ$41:$BL$41,[6]Dum_AllocateIDC!$BK$43:$BL$72,[6]Dum_AllocateIDC!$BQ$41:$BS$41,[6]Dum_AllocateIDC!$BR$43:$BS$72</definedName>
    <definedName name="DumAll_Input1">[6]Dum_AllocateIDC!$AO$41:$AQ$41,[6]Dum_AllocateIDC!$AP$43:$AQ$72,[6]Dum_AllocateIDC!$AV$41:$AX$41,[6]Dum_AllocateIDC!$AW$43:$AX$72,[6]Dum_AllocateIDC!$BC$41:$BE$41,[6]Dum_AllocateIDC!$BD$43:$BE$72,[6]Dum_AllocateIDC!$BJ$41:$BL$41,[6]Dum_AllocateIDC!$BK$43:$BL$72,[6]Dum_AllocateIDC!$BQ$41:$BS$41,[6]Dum_AllocateIDC!$BR$43:$BS$72</definedName>
    <definedName name="DumAll_Input2">[6]Dum_AllocateIDC!$BQ$41:$BS$41,[6]Dum_AllocateIDC!$BR$43:$BS$72,[6]Dum_AllocateIDC!$BX$41:$BZ$41,[6]Dum_AllocateIDC!$BY$43:$BZ$72,[6]Dum_AllocateIDC!$CE$41:$CG$41,[6]Dum_AllocateIDC!$CF$43:$CG$72,[6]Dum_AllocateIDC!$CL$41:$CN$41,[6]Dum_AllocateIDC!$CM$43:$CN$72,[6]Dum_AllocateIDC!$CS$41:$CU$41,[6]Dum_AllocateIDC!$CT$43:$CU$72</definedName>
    <definedName name="DumAll_Input3">[6]Dum_AllocateIDC!$CS$41:$CU$41,[6]Dum_AllocateIDC!$CT$43:$CU$72,[6]Dum_AllocateIDC!$CZ$41:$DB$41,[6]Dum_AllocateIDC!$DA$43:$DB$72,[6]Dum_AllocateIDC!$DG$41:$DI$41,[6]Dum_AllocateIDC!$DH$43:$DI$72,[6]Dum_AllocateIDC!$DN$41:$DP$41,[6]Dum_AllocateIDC!$DO$43:$DP$72</definedName>
    <definedName name="DumAll_Input4">[6]Dum_AllocateIDC!$DU$41:$DW$41,[6]Dum_AllocateIDC!$DV$43:$DW$72,[6]Dum_AllocateIDC!$EB$41:$ED$41,[6]Dum_AllocateIDC!$EC$43:$ED$72,[6]Dum_AllocateIDC!$EI$41:$EK$41,[6]Dum_AllocateIDC!$EJ$43:$EK$72,[6]Dum_AllocateIDC!$EP$41:$ER$41,[6]Dum_AllocateIDC!$EQ$43:$ER$72</definedName>
    <definedName name="DumAll_Input5">[6]Dum_AllocateIDC!$EW$41:$EY$41,[6]Dum_AllocateIDC!$EX$43:$EY$72,[6]Dum_AllocateIDC!$FD$41:$FF$41,[6]Dum_AllocateIDC!$FE$43:$FF$72,[6]Dum_AllocateIDC!$FK$41:$FM$41,[6]Dum_AllocateIDC!$FL$43:$FM$72,[6]Dum_AllocateIDC!$FR$41:$FT$41,[6]Dum_AllocateIDC!$FS$43:$FT$72</definedName>
    <definedName name="DumAll_Input6">[6]Dum_AllocateIDC!$FY$41:$GA$41,[6]Dum_AllocateIDC!$FZ$43:$GA$72,[6]Dum_AllocateIDC!$GF$41:$GH$41,[6]Dum_AllocateIDC!$GG$43:$GH$72,[6]Dum_AllocateIDC!$GM$41:$GO$41,[6]Dum_AllocateIDC!$GN$43:$GO$72,[6]Dum_AllocateIDC!$GT$41:$GV$41,[6]Dum_AllocateIDC!$GU$43:$GV$72</definedName>
    <definedName name="DumAll_Input7">[6]Dum_AllocateIDC!$HA$41:$HC$41,[6]Dum_AllocateIDC!$HB$43:$HC$72,[6]Dum_AllocateIDC!$HH$41:$HJ$41,[6]Dum_AllocateIDC!$HI$43:$HI$72,[6]Dum_AllocateIDC!$HI$72,[6]Dum_AllocateIDC!$HJ$43:$HJ$72</definedName>
    <definedName name="e" hidden="1">#REF!</definedName>
    <definedName name="egat">#REF!</definedName>
    <definedName name="egat1">#REF!</definedName>
    <definedName name="ex.rate">[10]ex.rate!$B$2:$AH$13</definedName>
    <definedName name="ExchangeRate">'[11]Heating Value'!$C$23</definedName>
    <definedName name="Fin_Year">#REF!</definedName>
    <definedName name="firm_fuletype">'[12]dum-sheet'!$B$3:$B$12</definedName>
    <definedName name="Fix_PIDCC">[13]FixCost!#REF!</definedName>
    <definedName name="Fix_PIDCF">[13]FixCost!#REF!</definedName>
    <definedName name="Fix_PIDCL">[13]FixCost!#REF!</definedName>
    <definedName name="Fix_PLYEscF">[13]FixCost!#REF!</definedName>
    <definedName name="Fix_PLYEscL">[13]FixCost!#REF!</definedName>
    <definedName name="FO_ASP">[8]Assumptions!$C$8:$AQ$8</definedName>
    <definedName name="FO_SPOT">[8]Assumptions!$C$9:$AQ$9</definedName>
    <definedName name="Fuel1">#REF!</definedName>
    <definedName name="Fuel2">#REF!</definedName>
    <definedName name="FX">[8]Assumptions!$C$6:$AQ$6</definedName>
    <definedName name="HD_2011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HD_2011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Heating">#REF!</definedName>
    <definedName name="Htable_e">#REF!</definedName>
    <definedName name="Htable_t">#REF!</definedName>
    <definedName name="INFLATION">[8]Assumptions!$C$7:$AQ$7</definedName>
    <definedName name="khl">[7]level_all!$BB$2:$BK$15</definedName>
    <definedName name="kkc">[7]level_all!$BO$2:$BX$15</definedName>
    <definedName name="krd">[7]level_all!$CC$2:$CL$15</definedName>
    <definedName name="Link">[14]MainMenu!$B$30</definedName>
    <definedName name="Load_F">#REF!</definedName>
    <definedName name="MaxRunYear">#REF!</definedName>
    <definedName name="MinRunYear">#REF!</definedName>
    <definedName name="mng">[7]level_all!$AC$2:$AL$15</definedName>
    <definedName name="MonRange">#REF!</definedName>
    <definedName name="Month_index">[15]Dum!$A$1:$B$12</definedName>
    <definedName name="N">#REF!</definedName>
    <definedName name="NameFuel">[16]GeneralData!#REF!</definedName>
    <definedName name="NameMonth">[15]Dum!$A$1:$A$12</definedName>
    <definedName name="NE">#REF!</definedName>
    <definedName name="new">[17]REPAY45!#REF!</definedName>
    <definedName name="Note_Case">#REF!</definedName>
    <definedName name="Note_Date">#REF!</definedName>
    <definedName name="Note_File">#REF!</definedName>
    <definedName name="Note_PDP">#REF!</definedName>
    <definedName name="Note_PrintDate">#REF!</definedName>
    <definedName name="NP">[7]level_all!$EG$2:$EP$15</definedName>
    <definedName name="PDP_Name">#REF!</definedName>
    <definedName name="Peak_Data">#REF!</definedName>
    <definedName name="Peak_Hydro">#REF!</definedName>
    <definedName name="Peak_PDP">#REF!</definedName>
    <definedName name="planttype">'[12]dum-sheet'!$C$3:$C$6</definedName>
    <definedName name="pong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pong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Portion">[16]GeneralData!#REF!</definedName>
    <definedName name="_xlnm.Print_Area" localSheetId="2">เครื่องจักรกล!$A$1:$AR$86</definedName>
    <definedName name="Print_Area_MI">#REF!</definedName>
    <definedName name="_xlnm.Print_Titles">[18]รกส.!$10:$12</definedName>
    <definedName name="proj" localSheetId="0">{"Client Name or Project Name"}</definedName>
    <definedName name="proj">{"Client Name or Project Name"}</definedName>
    <definedName name="Proj_Sell">#REF!</definedName>
    <definedName name="proj1" localSheetId="0">{"Client Name or Project Name"}</definedName>
    <definedName name="proj1">{"Client Name or Project Name"}</definedName>
    <definedName name="ProjectName" localSheetId="0">{"Client Name or Project Name"}</definedName>
    <definedName name="ProjectName">{"Client Name or Project Name"}</definedName>
    <definedName name="projectname1" localSheetId="0">{"Client Name or Project Name"}</definedName>
    <definedName name="projectname1">{"Client Name or Project Name"}</definedName>
    <definedName name="ProjName" localSheetId="0">{"Client Name or Project Name"}</definedName>
    <definedName name="ProjName">{"Client Name or Project Name"}</definedName>
    <definedName name="projname2" localSheetId="0">{"Client Name or Project Name"}</definedName>
    <definedName name="projname2">{"Client Name or Project Name"}</definedName>
    <definedName name="ProName" localSheetId="0">{"Client Name or Project Name"}</definedName>
    <definedName name="ProName">{"Client Name or Project Name"}</definedName>
    <definedName name="proname1" localSheetId="0">{"Client Name or Project Name"}</definedName>
    <definedName name="proname1">{"Client Name or Project Name"}</definedName>
    <definedName name="PY">[9]Sheet3!$C$3</definedName>
    <definedName name="q" hidden="1">#REF!</definedName>
    <definedName name="qq">#REF!</definedName>
    <definedName name="rate">[19]RATE!$B$2:$AB$12</definedName>
    <definedName name="Region_Var">#REF!</definedName>
    <definedName name="RegionOrALL">#REF!</definedName>
    <definedName name="RepAll_SumAllIDC">[6]Report_AllIDC!#REF!</definedName>
    <definedName name="Res_Col_DepenMW">#REF!</definedName>
    <definedName name="Res_Col_InstallMW">#REF!</definedName>
    <definedName name="Res_Col_Month">#REF!</definedName>
    <definedName name="Res_Col_MW1">#REF!</definedName>
    <definedName name="Res_Col_NumMonth">[20]RM_Th!#REF!</definedName>
    <definedName name="Res_Col_PeakMW">#REF!</definedName>
    <definedName name="Res_Col_Percent">#REF!</definedName>
    <definedName name="Res_Col_PlantName">#REF!</definedName>
    <definedName name="Res_Col_PlantNameThai">[20]RM_Th!#REF!</definedName>
    <definedName name="Res_Col_RatedMW">#REF!</definedName>
    <definedName name="Res_Col_ResMW">#REF!</definedName>
    <definedName name="Res_Col_Start">#REF!</definedName>
    <definedName name="Res_Col_Unit">#REF!</definedName>
    <definedName name="Res_Col_Year">#REF!</definedName>
    <definedName name="RPB">[7]level_all!$ER$2:$EZ$15</definedName>
    <definedName name="RSO_115">#REF!</definedName>
    <definedName name="S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[2]INT45!#REF!</definedName>
    <definedName name="Sheet15">#REF!</definedName>
    <definedName name="Sheet16" hidden="1">#REF!</definedName>
    <definedName name="Sheet17" hidden="1">#REF!</definedName>
    <definedName name="Sheet18">#REF!</definedName>
    <definedName name="Sheet19" hidden="1">[21]รายละเอียดIDC!#REF!</definedName>
    <definedName name="Sheet2">#REF!</definedName>
    <definedName name="Sheet20" hidden="1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27">#REF!</definedName>
    <definedName name="Sheet28">#REF!</definedName>
    <definedName name="Sheet29">#REF!</definedName>
    <definedName name="Sheet3">#REF!</definedName>
    <definedName name="Sheet30">#REF!</definedName>
    <definedName name="Sheet31">#REF!</definedName>
    <definedName name="Sheet32">[5]Sub!#REF!</definedName>
    <definedName name="Sheet34">#REF!</definedName>
    <definedName name="Sheet35">#REF!</definedName>
    <definedName name="Sheet36">#REF!</definedName>
    <definedName name="Sheet37">[13]FixCost!#REF!</definedName>
    <definedName name="Sheet38">[13]FixCost!#REF!</definedName>
    <definedName name="Sheet39">[13]FixCost!#REF!</definedName>
    <definedName name="Sheet4">[1]REPAY45!#REF!</definedName>
    <definedName name="Sheet40">[13]FixCost!#REF!</definedName>
    <definedName name="Sheet41">[13]FixCost!#REF!</definedName>
    <definedName name="Sheet42">#REF!</definedName>
    <definedName name="Sheet43">#REF!</definedName>
    <definedName name="Sheet44">#REF!</definedName>
    <definedName name="Sheet45">#REF!</definedName>
    <definedName name="Sheet46">#REF!</definedName>
    <definedName name="Sheet5">#REF!</definedName>
    <definedName name="Sheet6">[1]REPAY45!#REF!</definedName>
    <definedName name="Sheet8">[1]REPAY45!#REF!</definedName>
    <definedName name="Sheet9">[1]REPAY45!#REF!</definedName>
    <definedName name="sk">[7]level_all!$N$2:$U$15</definedName>
    <definedName name="SNR">[7]level_all!$AO$2:$AX$15</definedName>
    <definedName name="solver_corr" hidden="1">1</definedName>
    <definedName name="solver_eval" hidden="1">1</definedName>
    <definedName name="solver_nsim" hidden="1">1</definedName>
    <definedName name="solver_ntri" hidden="1">1000</definedName>
    <definedName name="solver_rgen" hidden="1">1</definedName>
    <definedName name="solver_rsmp" hidden="1">1</definedName>
    <definedName name="solver_seed" hidden="1">0</definedName>
    <definedName name="solver_strm" hidden="1">0</definedName>
    <definedName name="SPP">[16]GeneralData!#REF!</definedName>
    <definedName name="SRD">[7]level_all!$DD$2:$DM$15</definedName>
    <definedName name="Start_Year">#REF!</definedName>
    <definedName name="Station">#REF!</definedName>
    <definedName name="Step_Month">[15]Dum!$I$3</definedName>
    <definedName name="Step_MW">[15]Dum!$H$3</definedName>
    <definedName name="Strat_Month">[15]Dum!$F$3</definedName>
    <definedName name="Strat_MW">[15]Dum!$E$3</definedName>
    <definedName name="Sum_Case">#REF!</definedName>
    <definedName name="Sum_Date">#REF!</definedName>
    <definedName name="Sum_DateNow">#REF!</definedName>
    <definedName name="Sum_MaxYear">#REF!</definedName>
    <definedName name="Sum_MinYear">#REF!</definedName>
    <definedName name="SumFC_True">#REF!</definedName>
    <definedName name="SumLC_True">#REF!</definedName>
    <definedName name="SumTO_True">#REF!</definedName>
    <definedName name="TABLE">[22]RATE!$B$2:$Q$12</definedName>
    <definedName name="Table_NESDB">#REF!</definedName>
    <definedName name="TEST">#REF!</definedName>
    <definedName name="TypePlant">#N/A</definedName>
    <definedName name="UNCLOS">#REF!</definedName>
    <definedName name="Unit_Sum">#REF!</definedName>
    <definedName name="UR">[7]level_all!$CP$2:$CY$15</definedName>
    <definedName name="w" hidden="1">#REF!</definedName>
    <definedName name="WA">#REF!</definedName>
    <definedName name="we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we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wrn.A.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wrn.A.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wrn.A.2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wrn.A.2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wrn.a1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wrn.a1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x" hidden="1">#REF!</definedName>
    <definedName name="xs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xs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xx">#REF!</definedName>
    <definedName name="xxx" hidden="1">#REF!</definedName>
    <definedName name="z" hidden="1">#REF!</definedName>
    <definedName name="zz" hidden="1">#REF!</definedName>
    <definedName name="zzz" hidden="1">#REF!</definedName>
    <definedName name="แผนส่งสศช">#REF!</definedName>
    <definedName name="กิจกรรมพิเศษ2002">#REF!</definedName>
    <definedName name="งบลงทุน55">#REF!</definedName>
    <definedName name="งบลงทุน55_1">#REF!</definedName>
    <definedName name="งบลงทุนปี52.xls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งบลงทุนปี52.xls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ธุรการ2001">#REF!</definedName>
    <definedName name="นบง1359">#REF!</definedName>
    <definedName name="นบง2001">#REF!</definedName>
    <definedName name="นบง3099">#REF!</definedName>
    <definedName name="นบง3173">#REF!</definedName>
    <definedName name="นบง3174">#REF!</definedName>
    <definedName name="นปก1357">#REF!</definedName>
    <definedName name="นปก1359">#REF!</definedName>
    <definedName name="นปก13592">#REF!</definedName>
    <definedName name="นปก2001">#REF!</definedName>
    <definedName name="นปก2002">#REF!</definedName>
    <definedName name="นปก2052">#REF!</definedName>
    <definedName name="นปก3001">#REF!</definedName>
    <definedName name="นปก3100">#REF!</definedName>
    <definedName name="นผป1359">#REF!</definedName>
    <definedName name="นผป2001">#REF!</definedName>
    <definedName name="นผป2002">#REF!</definedName>
    <definedName name="นผป2034">#REF!</definedName>
    <definedName name="นผป3100">#REF!</definedName>
    <definedName name="น้อง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น้อง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น้ำระบาย">#REF!</definedName>
    <definedName name="บริการอุปกรณ์1357">#REF!</definedName>
    <definedName name="ปฏิทินVer.ป่อง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ปฏิทินVer.ป่อง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ปฏิทินVersionงบทำการ5556ok" localSheetId="0">{"Client Name or Project Name"}</definedName>
    <definedName name="ปฏิทินVersionงบทำการ5556ok">{"Client Name or Project Name"}</definedName>
    <definedName name="ปฏิทินใหม่5556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ปฏิทินใหม่5556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ปฏิทินพี่ป่อง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ปฏิทินพี่ป่อง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ปรับลด">#REF!</definedName>
    <definedName name="ฝึกอบรม1351">#REF!</definedName>
    <definedName name="พัฒนาระบบ2052">#REF!</definedName>
    <definedName name="พี่ป่อง" localSheetId="0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พี่ป่อง" hidden="1">{#N/A,#N/A,TRUE,"mng";#N/A,#N/A,TRUE,"snr";#N/A,#N/A,TRUE,"khl";#N/A,#N/A,TRUE,"kkc";#N/A,#N/A,TRUE,"krd";#N/A,#N/A,TRUE,"ur";#N/A,#N/A,TRUE,"srd";#N/A,#N/A,TRUE,"clb";#N/A,#N/A,TRUE,"np";#N/A,#N/A,TRUE,"rpb";#N/A,#N/A,TRUE,"blg"}</definedName>
    <definedName name="ฟิ160">#REF!</definedName>
    <definedName name="ร่วมมือ1359">#REF!</definedName>
    <definedName name="วิจัย1255">#REF!</definedName>
    <definedName name="ศูนย์ข้อมูล3100">#REF!</definedName>
    <definedName name="หก1359">#REF!</definedName>
    <definedName name="หก13592">#REF!</definedName>
    <definedName name="หก2001">#REF!</definedName>
    <definedName name="หก200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5" l="1"/>
  <c r="F86" i="15"/>
  <c r="H84" i="15"/>
  <c r="H78" i="15"/>
  <c r="H79" i="15"/>
  <c r="H80" i="15"/>
  <c r="H81" i="15"/>
  <c r="H82" i="15"/>
  <c r="H83" i="15"/>
  <c r="G82" i="15"/>
  <c r="G83" i="15"/>
  <c r="G81" i="15"/>
  <c r="G80" i="15"/>
  <c r="G79" i="15"/>
  <c r="G78" i="15"/>
  <c r="F79" i="15"/>
  <c r="F80" i="15"/>
  <c r="F81" i="15"/>
  <c r="F82" i="15"/>
  <c r="F83" i="15"/>
  <c r="F78" i="15"/>
  <c r="G86" i="15"/>
  <c r="H85" i="15" l="1"/>
  <c r="F85" i="15"/>
  <c r="G85" i="15"/>
  <c r="L80" i="15" l="1"/>
  <c r="L81" i="15" s="1"/>
  <c r="U41" i="15"/>
  <c r="U40" i="15"/>
  <c r="U39" i="15"/>
  <c r="U38" i="15"/>
  <c r="U37" i="15"/>
  <c r="U36" i="15"/>
  <c r="U35" i="15"/>
  <c r="U34" i="15"/>
  <c r="U33" i="15"/>
  <c r="U32" i="15"/>
  <c r="U31" i="15"/>
  <c r="U30" i="15"/>
  <c r="U29" i="15"/>
  <c r="U28" i="15"/>
  <c r="U27" i="15"/>
  <c r="U26" i="15"/>
  <c r="U25" i="15"/>
  <c r="U24" i="15"/>
  <c r="P41" i="15" l="1"/>
  <c r="V41" i="15" s="1"/>
  <c r="P29" i="15"/>
  <c r="V29" i="15" s="1"/>
  <c r="P36" i="15"/>
  <c r="V36" i="15" s="1"/>
  <c r="P39" i="15"/>
  <c r="V39" i="15" s="1"/>
  <c r="P31" i="15"/>
  <c r="V31" i="15" s="1"/>
  <c r="P27" i="15"/>
  <c r="V27" i="15" s="1"/>
  <c r="P30" i="15"/>
  <c r="V30" i="15" s="1"/>
  <c r="P32" i="15"/>
  <c r="V32" i="15" s="1"/>
  <c r="P35" i="15"/>
  <c r="V35" i="15" s="1"/>
  <c r="P34" i="15"/>
  <c r="V34" i="15" s="1"/>
  <c r="P26" i="15"/>
  <c r="V26" i="15" s="1"/>
  <c r="P40" i="15"/>
  <c r="V40" i="15" s="1"/>
  <c r="P28" i="15"/>
  <c r="V28" i="15" s="1"/>
  <c r="P38" i="15"/>
  <c r="V38" i="15" s="1"/>
  <c r="P37" i="15"/>
  <c r="V37" i="15" s="1"/>
  <c r="P25" i="15"/>
  <c r="V25" i="15" s="1"/>
  <c r="P24" i="15"/>
  <c r="P33" i="15"/>
  <c r="V33" i="15" s="1"/>
  <c r="V24" i="15" l="1"/>
  <c r="P42" i="15"/>
</calcChain>
</file>

<file path=xl/sharedStrings.xml><?xml version="1.0" encoding="utf-8"?>
<sst xmlns="http://schemas.openxmlformats.org/spreadsheetml/2006/main" count="1567" uniqueCount="515">
  <si>
    <t>ลำดับ</t>
  </si>
  <si>
    <t>หมายเหตุ</t>
  </si>
  <si>
    <t>หกท-พ.</t>
  </si>
  <si>
    <t>อหก.</t>
  </si>
  <si>
    <t>บัญชีรายการเครื่องจักรกลและยานพาหนะของศูนย์เครื่องจักรกลท่าทุ่งนา (ศกท-หก.)</t>
  </si>
  <si>
    <t>ลำดับที่</t>
  </si>
  <si>
    <t>ประเภทยานพาหนะและเครื่องจักร</t>
  </si>
  <si>
    <t>รหัส กฟผ.</t>
  </si>
  <si>
    <t>ยี่ห้อ-รุ่น</t>
  </si>
  <si>
    <t>สถานที่ใช้งาน</t>
  </si>
  <si>
    <t>Remark</t>
  </si>
  <si>
    <t>รายการยานพาหนะ ศกท-หก.</t>
  </si>
  <si>
    <t>TOYOTA  รถตู้โดยสารที่มีที่นั่งไม่เกิน 12 ที่นั่ง</t>
  </si>
  <si>
    <t>02-3379</t>
  </si>
  <si>
    <t>TOYOTA COMMUTER</t>
  </si>
  <si>
    <t>ศกท-หก.</t>
  </si>
  <si>
    <t>นจ 1604 นนทบุรี</t>
  </si>
  <si>
    <t>ศูนย์ฯท่าทุ่งนา(ช.อหก-2 แลกกับรถตู้หลังคาสูง 07-12370  1นช6554 กท.)</t>
  </si>
  <si>
    <t xml:space="preserve"> รถยนต์นั่ง 2 ตอนท้ายบรรทุก </t>
  </si>
  <si>
    <t>02-3752</t>
  </si>
  <si>
    <t>T0YOTA DOUBLE CAB</t>
  </si>
  <si>
    <t xml:space="preserve"> กพ 7802 นนทบุรี</t>
  </si>
  <si>
    <t>Site โซล่าเซล อุตรดิตถ์ ปัจจุบันอยู่ส่วนกลาง</t>
  </si>
  <si>
    <t>02-3753</t>
  </si>
  <si>
    <t xml:space="preserve"> Solar farm เพชรบุรี</t>
  </si>
  <si>
    <t>กพ 7803 นนทบุรี</t>
  </si>
  <si>
    <t>รับคืนจาก Site โซล่าเซลบุรีรัมย์ 26 พ.ย. 2568 ปัจจุบัน สนับสนุน Solar farm เพชรบุรี</t>
  </si>
  <si>
    <t xml:space="preserve"> รถนั่ง 2 แถวโดยสารที่มีที่นั่งไม่เกิน 12 ที่นั่ง </t>
  </si>
  <si>
    <t>02-3360</t>
  </si>
  <si>
    <t>ISUZU FXF20N000</t>
  </si>
  <si>
    <t>แม่เมาะ</t>
  </si>
  <si>
    <t>นข 5501 ลำปาง</t>
  </si>
  <si>
    <t>สนับสนุนงาน รฟ.แม่เมาะ</t>
  </si>
  <si>
    <t xml:space="preserve"> รถตู้โดยสารที่มีที่นั่งไม่เกิน 12 ที่นั่ง </t>
  </si>
  <si>
    <t>02-3405</t>
  </si>
  <si>
    <t>นจ 1801 นนทบุรี</t>
  </si>
  <si>
    <t>รถปิคอัพ 4 ประตู  ขับเคลื่อน 2 ล้อ</t>
  </si>
  <si>
    <t>07-10833</t>
  </si>
  <si>
    <t>TOYOTA REVOD-CAB PRE</t>
  </si>
  <si>
    <t xml:space="preserve">1นค 9377 กทม. </t>
  </si>
  <si>
    <t>07-10832</t>
  </si>
  <si>
    <t xml:space="preserve">1นค 9387 กทม. </t>
  </si>
  <si>
    <t>รฟ.วังน้อย</t>
  </si>
  <si>
    <t xml:space="preserve">รถตู้ หลังคาสูง ไม่ต่ำกว่า 12 ที่นั่ง </t>
  </si>
  <si>
    <t>07-12369</t>
  </si>
  <si>
    <t>TOYOTA COMMUTER 2.8 MT</t>
  </si>
  <si>
    <t>1นช 6550 กทม.</t>
  </si>
  <si>
    <t>ส่วนกลาง กยค-พ.</t>
  </si>
  <si>
    <t>รถบรรทุก 6 ล้อ</t>
  </si>
  <si>
    <t>03-0758</t>
  </si>
  <si>
    <t>ISUZU FTR33H</t>
  </si>
  <si>
    <t>รถขยะ</t>
  </si>
  <si>
    <t>03-0170</t>
  </si>
  <si>
    <t>ISUZU / NPR</t>
  </si>
  <si>
    <t>รถบรรทุก</t>
  </si>
  <si>
    <t>03-0302</t>
  </si>
  <si>
    <t>ISUZU / FTR (รถขนย้าย น้ำมันเชื้อเพลิง)</t>
  </si>
  <si>
    <t>วังน้อย</t>
  </si>
  <si>
    <t>03-0484</t>
  </si>
  <si>
    <t>ISUZU / FTR</t>
  </si>
  <si>
    <t>03-0488</t>
  </si>
  <si>
    <t>รถบำรุงรักษา</t>
  </si>
  <si>
    <t>03-0512</t>
  </si>
  <si>
    <t>03-0513</t>
  </si>
  <si>
    <t>รถจักรยานยนต์</t>
  </si>
  <si>
    <t>04-0323</t>
  </si>
  <si>
    <t>HONDA WAVE 100</t>
  </si>
  <si>
    <t>04-2154</t>
  </si>
  <si>
    <t>HONDA WAVE 110i</t>
  </si>
  <si>
    <t>รายการเครื่องจักรกล ศกท-หก.</t>
  </si>
  <si>
    <t>งานแม่เมาะ</t>
  </si>
  <si>
    <t>เขื่อนสิรินธร จ.อุบลราชธานี</t>
  </si>
  <si>
    <t>เขื่อนวชิราลงกรณ</t>
  </si>
  <si>
    <t>งานวังน้อย</t>
  </si>
  <si>
    <t>รวมใช้งาน</t>
  </si>
  <si>
    <t>คงเหลือ</t>
  </si>
  <si>
    <t>รถบด</t>
  </si>
  <si>
    <t>18-0121</t>
  </si>
  <si>
    <t>DYNAPAC   CA 251D</t>
  </si>
  <si>
    <t>18-0142</t>
  </si>
  <si>
    <t>INGERSOLLRAND   SP 1</t>
  </si>
  <si>
    <t>รถขุด</t>
  </si>
  <si>
    <t>18-0143</t>
  </si>
  <si>
    <t>INGERSOLL-RAND   SD 10</t>
  </si>
  <si>
    <t>ซ่อมบำรุง 69</t>
  </si>
  <si>
    <t>1. ระบบไฮดรอลิคชำรุดเสื่อมสภาพ 110,000</t>
  </si>
  <si>
    <t>รถขุดล้อยาง</t>
  </si>
  <si>
    <t>34-0053</t>
  </si>
  <si>
    <t>CATERPILLAR  320V2</t>
  </si>
  <si>
    <t>หกท-พ. 6/2569 ซ่อม 69 52,734.95</t>
  </si>
  <si>
    <t>รถบรรทุกเทท้าย 10 ล้อ</t>
  </si>
  <si>
    <t>https://www.metrocat.com/th/CAT320/</t>
  </si>
  <si>
    <t>34-0054</t>
  </si>
  <si>
    <t>KOMATSU   PW 100</t>
  </si>
  <si>
    <t>รถบรรทุกเทท้าย 6 ล้อ</t>
  </si>
  <si>
    <t>34-0065</t>
  </si>
  <si>
    <t>KOMATSU   PC 200-7</t>
  </si>
  <si>
    <t xml:space="preserve">หกท-พ. 17/2569 ซ่อม  338,726.69 </t>
  </si>
  <si>
    <t>รถบรรทุกสิบล้อ</t>
  </si>
  <si>
    <t>http://www.tiamtin.com/www/SpecLink/PC200_7a.pdf</t>
  </si>
  <si>
    <t>34-0072</t>
  </si>
  <si>
    <t xml:space="preserve">KOBELCO  SK200 VIS </t>
  </si>
  <si>
    <t xml:space="preserve">หกท-พ. 20/2569  476,993.16 </t>
  </si>
  <si>
    <t>รถบรรทุกน้ำมัน</t>
  </si>
  <si>
    <t>KOBELCO SK200 VIS เป็นชื่อรุ่นของรถขุดตีนตะขาบ KOBELCO (Kobelco) ขนาด 20 ตัน. ตัว VIS น่าจะเป็นรหัสรุ่นย่อย ที่มีการปรับปรุงหรือคุณสมบัติพิเศษบางอย่าง เครื่องยนต์: รุ่น SK200-10 SM ใช้เครื่องยนต์ HINO J05E-TG น้ำหนัก: 21,600 กิโลกรัม.  ความจุบุ้งกี๋: 0.93 ลูกบาศก์เมตร</t>
  </si>
  <si>
    <t>34-0073</t>
  </si>
  <si>
    <t>รถบรรทุกน้ำ</t>
  </si>
  <si>
    <t>40-0352</t>
  </si>
  <si>
    <t>NISSAN  CWM-431 MHRT</t>
  </si>
  <si>
    <t>รถบรรทุกติดเครน</t>
  </si>
  <si>
    <t xml:space="preserve"> (ท้ายเรือ)</t>
  </si>
  <si>
    <t>40-0353</t>
  </si>
  <si>
    <t>FORK LIFT</t>
  </si>
  <si>
    <t>40-0354</t>
  </si>
  <si>
    <t>รถตัก</t>
  </si>
  <si>
    <t>40-0355</t>
  </si>
  <si>
    <t>รถตักหน้า-ขุดหลัง</t>
  </si>
  <si>
    <t>40-0359</t>
  </si>
  <si>
    <t>ISUZU   FXZ 23 NZP</t>
  </si>
  <si>
    <t>รถเกลี่ยดิน</t>
  </si>
  <si>
    <t>40-0379</t>
  </si>
  <si>
    <t>ISUZU   FXZ 23 NZPE</t>
  </si>
  <si>
    <t>แทรกเตอร์</t>
  </si>
  <si>
    <t>40-0380</t>
  </si>
  <si>
    <t>หัวลากจูง</t>
  </si>
  <si>
    <t>40-0381</t>
  </si>
  <si>
    <t>หางพ่วง</t>
  </si>
  <si>
    <t>40-0385</t>
  </si>
  <si>
    <t>ISUZU   FXZ 23 NZPF</t>
  </si>
  <si>
    <t>เครื่องสูบน้ำ</t>
  </si>
  <si>
    <t>40-0386</t>
  </si>
  <si>
    <t>รถบรรทุกเทหน้า</t>
  </si>
  <si>
    <t>40-0387</t>
  </si>
  <si>
    <t>40-0399</t>
  </si>
  <si>
    <t>ISUZU   FTR 33 F2</t>
  </si>
  <si>
    <t>40-0400</t>
  </si>
  <si>
    <t>41-0044</t>
  </si>
  <si>
    <t>ISUZU   FXZ 136Y</t>
  </si>
  <si>
    <t xml:space="preserve">ยุบสภาพ </t>
  </si>
  <si>
    <t>หกท-พ. 55/2568</t>
  </si>
  <si>
    <t>41-0080</t>
  </si>
  <si>
    <t>HINO  FM 2 P-NPD</t>
  </si>
  <si>
    <t>42-0008</t>
  </si>
  <si>
    <t>ISUZU  FTR 113</t>
  </si>
  <si>
    <t>43-0136</t>
  </si>
  <si>
    <t>ISUZU FTR 11 H</t>
  </si>
  <si>
    <t>43-0164</t>
  </si>
  <si>
    <t>NISSAN CWM 430 MHR</t>
  </si>
  <si>
    <t>43-0169</t>
  </si>
  <si>
    <t>ISUZU  FTR 32 H</t>
  </si>
  <si>
    <t>43-0174</t>
  </si>
  <si>
    <t>NISSAN CWM 431 MHRT</t>
  </si>
  <si>
    <t>43-0203</t>
  </si>
  <si>
    <t>ISUZU FTR 33 H 2</t>
  </si>
  <si>
    <t>44-0116</t>
  </si>
  <si>
    <t>ISUZU FTR 11 HY</t>
  </si>
  <si>
    <t>44-0193</t>
  </si>
  <si>
    <t>ISUZU FXZ 23NZPF</t>
  </si>
  <si>
    <t>จะนะ</t>
  </si>
  <si>
    <t>44-0199</t>
  </si>
  <si>
    <t>51-0102</t>
  </si>
  <si>
    <t>ISUZU FD8027</t>
  </si>
  <si>
    <t>55-0103</t>
  </si>
  <si>
    <t>CATERPILLAR 950 F</t>
  </si>
  <si>
    <t xml:space="preserve">รถตักล้อยาง Caterpillar 950F เป็นรถตักล้อยางขนาดกลางที่ผลิตโดย Caterpillar ระหว่างปี 1993 ถึง 1998. รถรุ่นนี้มีน้ำหนัก 17.66 ตัน และมีบุ้งกี๋ขนาด 3.5 ลูกบาศก์เมตร. ความเร็วสูงสุดอยู่ที่ 39.4 กม./ชม. </t>
  </si>
  <si>
    <t>55-0124</t>
  </si>
  <si>
    <t>VOLVO L90E</t>
  </si>
  <si>
    <t xml:space="preserve">VOLVO L90E เป็นรถตักล้อยางรุ่นหนึ่งที่ผลิตโดย Volvo. รุ่นนี้ผลิตขึ้นในช่วงปี 2003 ถึง 2006. มีน้ำหนักใช้งานประมาณ 15-17 ตัน. </t>
  </si>
  <si>
    <t>57-0015</t>
  </si>
  <si>
    <t>CATERPILLAR  428 II</t>
  </si>
  <si>
    <t>58-0006</t>
  </si>
  <si>
    <t>CATERPILLAR 12 G.</t>
  </si>
  <si>
    <t>รถเกรดรุ่นนี้มีเครื่องยนต์ 6 สูบ, กำลัง 135 แรงม้า, และใบมีดขนาด 14 ฟุต.</t>
  </si>
  <si>
    <t>58-0007</t>
  </si>
  <si>
    <t>58-0047</t>
  </si>
  <si>
    <t>KOMATSU</t>
  </si>
  <si>
    <t>58-0049</t>
  </si>
  <si>
    <t>KOMATSU GD 555-3</t>
  </si>
  <si>
    <t>เครื่องยนต์เทอร์โบชาร์จและอินเตอร์คูลเลอร์ ให้กำลังสูงสุด 160 แรงม้า มีคุณสมบัติขั้นสูง เช่น ใบมีด 12 ฟุต (ประมาณ 3.66 เมตร) พร้อมระบบเลื่อนด้านข้างที่หลากหลาย ระบบไฮดรอลิกที่มีปั๊มขนาด 54 gpm (ประมาณ 204 ลิตรต่อนาที) GD555-3 มีน้ำหนักใช้งาน 30,950 ปอนด์ (ประมาณ 14,039 กิโลกรัม)</t>
  </si>
  <si>
    <t>64-0034</t>
  </si>
  <si>
    <t>KOMATSU D 65 A</t>
  </si>
  <si>
    <t>64-0034 Komatsu D65A 140 hp</t>
  </si>
  <si>
    <t>64-0052</t>
  </si>
  <si>
    <t>CATERPILLAR D6D</t>
  </si>
  <si>
    <t xml:space="preserve">รถดันดิน (bulldozer) แบบตีนตะขาบขนาดกลาง น้ำหนัก: 18 ตัน (หรือ 16 ตัน ตามน้ำหนักใช้งานจริง) เครื่องยนต์ Caterpillar 3306 </t>
  </si>
  <si>
    <t>64-0052 CATERPILLAR D6D มีกำลังแรงม้าประมาณ 139.5 ถึง 140 แรงม้า</t>
  </si>
  <si>
    <t>64-0061</t>
  </si>
  <si>
    <t>KOMATSU  D 85 A-18</t>
  </si>
  <si>
    <t xml:space="preserve">ใช้เครื่องยนต์เทอร์โบชาร์จ NT-855 ให้กำลังขับ 220 แรงม้า มีใบมีดมาตรฐานความจุ 8.5 ลูกบาศก์หลา(1 หลา เท่ากับ 0.9144 เมตร) 6.5m3 ใช้ระบบเกียร์ TF มี 3 เกียร์เดินหน้าและ 3 เกียร์ถอยหลัง </t>
  </si>
  <si>
    <t>64-0061 KOMATSU D85A-18 มีกำลังแรงม้า 220 แรงม้า (HP)</t>
  </si>
  <si>
    <t>64-0142</t>
  </si>
  <si>
    <t>CATERPILLAR  D5NXL</t>
  </si>
  <si>
    <t>64-0142 CATERPLILLAR D5NXL แรงม้า 115-120</t>
  </si>
  <si>
    <t>64-0145</t>
  </si>
  <si>
    <t>CATERPILLAR D5GXL</t>
  </si>
  <si>
    <t>ใบมีดแบบ 6 ทิศทาง (6-way blade) ที่สามารถปรับทิศทางได้หลายแบบ</t>
  </si>
  <si>
    <t>64-0145 CATERPILLAR D5GXL มีแรงม้ารวม 99 แรงม้า</t>
  </si>
  <si>
    <t xml:space="preserve">70-0092 </t>
  </si>
  <si>
    <t>MERCEDES-BENZ ZG.01</t>
  </si>
  <si>
    <t>70-0093</t>
  </si>
  <si>
    <t>VOLVO FM12</t>
  </si>
  <si>
    <t>71-0064</t>
  </si>
  <si>
    <t>PANUS 30SF-1200 (หางสูง บรรทุก  50 TON)</t>
  </si>
  <si>
    <t>71-0141</t>
  </si>
  <si>
    <t>PANUS PN503 S/B1250 (หาง Volvo)</t>
  </si>
  <si>
    <t>71-0143</t>
  </si>
  <si>
    <t>CTV/DC 110322 (หาง benz)</t>
  </si>
  <si>
    <t>หกท-พ. 7/2569 186,380.00</t>
  </si>
  <si>
    <t>75-0253</t>
  </si>
  <si>
    <t>CAPRARI</t>
  </si>
  <si>
    <t>39-0053</t>
  </si>
  <si>
    <t>ดีเวล TF105</t>
  </si>
  <si>
    <t xml:space="preserve">สรุปจำนวนเครื่องจักร ตามสถานที่ใช้งาน </t>
  </si>
  <si>
    <t>ยานพาหนะ 02-07</t>
  </si>
  <si>
    <t>ยานพาหนะ 03 รถบรรทุก</t>
  </si>
  <si>
    <t>เครื่องจักรกล</t>
  </si>
  <si>
    <t>รวม</t>
  </si>
  <si>
    <t>ทะเบียนรถ</t>
  </si>
  <si>
    <t>02-3360 หก.</t>
  </si>
  <si>
    <t>02-3379 หก.</t>
  </si>
  <si>
    <t>02-3405 หก.</t>
  </si>
  <si>
    <t>02-3752 หก.</t>
  </si>
  <si>
    <t>02-3753 หก.</t>
  </si>
  <si>
    <t>03-0170 หก.</t>
  </si>
  <si>
    <t>03-0302 หก.</t>
  </si>
  <si>
    <t>03-0484 หก.</t>
  </si>
  <si>
    <t>03-0488 หก.</t>
  </si>
  <si>
    <t>03-0512 หก.</t>
  </si>
  <si>
    <t>03-0513 หก.</t>
  </si>
  <si>
    <t>03-0758 หก.</t>
  </si>
  <si>
    <t>04-0323 หก.</t>
  </si>
  <si>
    <t>04-2154 หก.</t>
  </si>
  <si>
    <t>40-0352 หก.</t>
  </si>
  <si>
    <t>40-0353 หก.</t>
  </si>
  <si>
    <t>40-0354 หก.</t>
  </si>
  <si>
    <t>40-0355 หก.</t>
  </si>
  <si>
    <t>40-0359 หก.</t>
  </si>
  <si>
    <t>40-0379 หก.</t>
  </si>
  <si>
    <t>40-0380 หก.</t>
  </si>
  <si>
    <t>40-0381 หก.</t>
  </si>
  <si>
    <t>40-0385 หก.</t>
  </si>
  <si>
    <t>40-0386 หก.</t>
  </si>
  <si>
    <t>40-0387 หก.</t>
  </si>
  <si>
    <t>40-0399 หก.</t>
  </si>
  <si>
    <t>40-0400 หก.</t>
  </si>
  <si>
    <t>41-0080 หก.</t>
  </si>
  <si>
    <t>42-0008 หก.</t>
  </si>
  <si>
    <t>43-0136 หก.</t>
  </si>
  <si>
    <t>43-0164 หก.</t>
  </si>
  <si>
    <t>43-0169 หก.</t>
  </si>
  <si>
    <t>43-0174 หก.</t>
  </si>
  <si>
    <t>43-0203 หก.</t>
  </si>
  <si>
    <t>44-0116 หก.</t>
  </si>
  <si>
    <t>44-0193 หก.</t>
  </si>
  <si>
    <t>44-0199 หก.</t>
  </si>
  <si>
    <t>70-0092 หก.</t>
  </si>
  <si>
    <t>70-0093 หก.</t>
  </si>
  <si>
    <t>71-0064 หก.</t>
  </si>
  <si>
    <t>71-0141 หก.</t>
  </si>
  <si>
    <t>81-6836</t>
  </si>
  <si>
    <t>71-0143 หก.</t>
  </si>
  <si>
    <t>สังกัด</t>
  </si>
  <si>
    <t>ชื่อรถ</t>
  </si>
  <si>
    <t>ลักษณะ/ประเภท</t>
  </si>
  <si>
    <t>วันจดทะเบียน</t>
  </si>
  <si>
    <t>ประเภท</t>
  </si>
  <si>
    <t>01-0063 หก.</t>
  </si>
  <si>
    <t>กบ5962</t>
  </si>
  <si>
    <t>Isuzu</t>
  </si>
  <si>
    <t>รถตรวจการณ์</t>
  </si>
  <si>
    <t>11/10/2549</t>
  </si>
  <si>
    <t>รายเดือน</t>
  </si>
  <si>
    <t>02-3062 หก.</t>
  </si>
  <si>
    <t>นง8409</t>
  </si>
  <si>
    <t>Toyota</t>
  </si>
  <si>
    <t>รถตู้โดยสารที่มีที่นั่งไม่เกิน 12 ที่นั่ง</t>
  </si>
  <si>
    <t>11/11/2551</t>
  </si>
  <si>
    <t>02-3269 หก.</t>
  </si>
  <si>
    <t>นข5185</t>
  </si>
  <si>
    <t>รถนั่ง 2 แถวโดยสารที่มีที่นั่งไม่เกิน 12 ที่นั่ง</t>
  </si>
  <si>
    <t>กฟค-พ.</t>
  </si>
  <si>
    <t>ให้ อหข. ซ่อม ไทรน้อย</t>
  </si>
  <si>
    <t>19/10/2555</t>
  </si>
  <si>
    <t>นข5501</t>
  </si>
  <si>
    <t>รถยนต์นั่ง 2 ตอน 2 แถว</t>
  </si>
  <si>
    <t>กยค-พ.</t>
  </si>
  <si>
    <t>24/09/2556</t>
  </si>
  <si>
    <t>นจ1604</t>
  </si>
  <si>
    <t>กคร-พ.</t>
  </si>
  <si>
    <t>ศกท-หก. วังน้อย รถ กคร-พ.</t>
  </si>
  <si>
    <t>02/12/2556</t>
  </si>
  <si>
    <t>02-3380 หก.</t>
  </si>
  <si>
    <t>นจ1606</t>
  </si>
  <si>
    <t xml:space="preserve">โรงไฟฟ้าจะนะ </t>
  </si>
  <si>
    <t>นจ1801</t>
  </si>
  <si>
    <t>27/08/2557</t>
  </si>
  <si>
    <t>กพ7802</t>
  </si>
  <si>
    <t>รถยนต์นั่ง 2 ตอน ท้ายบรรทุก</t>
  </si>
  <si>
    <t>กพ7803</t>
  </si>
  <si>
    <t>02-3755 หก.</t>
  </si>
  <si>
    <t>นจ1251</t>
  </si>
  <si>
    <t>หกท-พ. ยืมใช้งานแม่เมาะ</t>
  </si>
  <si>
    <t>10/10/2555</t>
  </si>
  <si>
    <t>02-3757 หก.</t>
  </si>
  <si>
    <t>นข3582</t>
  </si>
  <si>
    <t>MAZDA</t>
  </si>
  <si>
    <t>กฟผ. จ.นนทบุรี</t>
  </si>
  <si>
    <t>11/03/2551</t>
  </si>
  <si>
    <t>02-3758 หก.</t>
  </si>
  <si>
    <t>นจ1656</t>
  </si>
  <si>
    <t>05/09/2557</t>
  </si>
  <si>
    <t>02-3759 หก.</t>
  </si>
  <si>
    <t>นจ1623</t>
  </si>
  <si>
    <t xml:space="preserve"> จ.สุพรรณบุรี</t>
  </si>
  <si>
    <t>02-3932 หก.</t>
  </si>
  <si>
    <t>นง9216</t>
  </si>
  <si>
    <t>01/10/2552</t>
  </si>
  <si>
    <t>80-9178</t>
  </si>
  <si>
    <t>รถบรรทุกเฉพาะกิจ</t>
  </si>
  <si>
    <t>25/12/2535</t>
  </si>
  <si>
    <t>รายไตรมาส</t>
  </si>
  <si>
    <t>81-2116</t>
  </si>
  <si>
    <t>กระบะบรรทุก</t>
  </si>
  <si>
    <t>28/02/2539</t>
  </si>
  <si>
    <t>81-4158</t>
  </si>
  <si>
    <t>17/10/2541</t>
  </si>
  <si>
    <t>81-4161</t>
  </si>
  <si>
    <t>17/10/2540</t>
  </si>
  <si>
    <t>81-4292</t>
  </si>
  <si>
    <t>รถตู้บรรทุก</t>
  </si>
  <si>
    <t>09/01/2541</t>
  </si>
  <si>
    <t>81-4293</t>
  </si>
  <si>
    <t>09/03/2541</t>
  </si>
  <si>
    <t>81-4651</t>
  </si>
  <si>
    <t>26/10/2541</t>
  </si>
  <si>
    <t>กจษ344</t>
  </si>
  <si>
    <t>Honda</t>
  </si>
  <si>
    <t>08/01/2546</t>
  </si>
  <si>
    <t>1กง7201</t>
  </si>
  <si>
    <t>20/05/2564</t>
  </si>
  <si>
    <t>81-4048</t>
  </si>
  <si>
    <t>NISSAN</t>
  </si>
  <si>
    <t>รถเครื่องจักรกล</t>
  </si>
  <si>
    <t>22/08/2540</t>
  </si>
  <si>
    <t>81-4049</t>
  </si>
  <si>
    <t>81-4050</t>
  </si>
  <si>
    <t>81-4051</t>
  </si>
  <si>
    <t>81-4094</t>
  </si>
  <si>
    <t>17/09/2540</t>
  </si>
  <si>
    <t>81-5660</t>
  </si>
  <si>
    <t>13/06/2544</t>
  </si>
  <si>
    <t>81-5662</t>
  </si>
  <si>
    <t>81-5661</t>
  </si>
  <si>
    <t>81-6509</t>
  </si>
  <si>
    <t>09/09/2545</t>
  </si>
  <si>
    <t>81-6511</t>
  </si>
  <si>
    <t>81-6510</t>
  </si>
  <si>
    <t>81-9114</t>
  </si>
  <si>
    <t>21/09/2547</t>
  </si>
  <si>
    <t>81-9116</t>
  </si>
  <si>
    <t>81-7530</t>
  </si>
  <si>
    <t>Hino</t>
  </si>
  <si>
    <t>08/09/2546</t>
  </si>
  <si>
    <t>80-4433</t>
  </si>
  <si>
    <t>29/01/2529</t>
  </si>
  <si>
    <t>80-7948</t>
  </si>
  <si>
    <t>06/06/2534</t>
  </si>
  <si>
    <t>81-1013</t>
  </si>
  <si>
    <t>03/02/2538</t>
  </si>
  <si>
    <t>81-2057</t>
  </si>
  <si>
    <t>09/02/2539</t>
  </si>
  <si>
    <t>81-3984</t>
  </si>
  <si>
    <t>01/08/2540</t>
  </si>
  <si>
    <t>81-9113</t>
  </si>
  <si>
    <t>80-9102</t>
  </si>
  <si>
    <t>19/11/2535</t>
  </si>
  <si>
    <t>81-5889</t>
  </si>
  <si>
    <t>30/09/2546</t>
  </si>
  <si>
    <t>81-6461</t>
  </si>
  <si>
    <t>20/08/2545</t>
  </si>
  <si>
    <t>81-5866</t>
  </si>
  <si>
    <t>Benz</t>
  </si>
  <si>
    <t>16/10/2544</t>
  </si>
  <si>
    <t>81-6520</t>
  </si>
  <si>
    <t>Volvo</t>
  </si>
  <si>
    <t>12/09/2545</t>
  </si>
  <si>
    <t>80-3864</t>
  </si>
  <si>
    <t>SEMI-TRAILER</t>
  </si>
  <si>
    <t>24/10/2527</t>
  </si>
  <si>
    <t>16/01/2546</t>
  </si>
  <si>
    <t>82-2143</t>
  </si>
  <si>
    <t>15/02/2550</t>
  </si>
  <si>
    <t>02-3754 หก.</t>
  </si>
  <si>
    <t>กบ5962 นบ.</t>
  </si>
  <si>
    <t>รถปิคอัพ 4 ประตู</t>
  </si>
  <si>
    <t>-</t>
  </si>
  <si>
    <t>เขื่อนสิรินธร</t>
  </si>
  <si>
    <t>ม.ค. - พ.ค. 69</t>
  </si>
  <si>
    <t>มิ.ย. - ส.ค. 69</t>
  </si>
  <si>
    <t>Update 25 สิงหาคม 2569</t>
  </si>
  <si>
    <t>trailer 1</t>
  </si>
  <si>
    <t>trailer 2</t>
  </si>
  <si>
    <t>trailer 3</t>
  </si>
  <si>
    <t>trailer 4</t>
  </si>
  <si>
    <t>วันครบกำหนดชำระภาษี</t>
  </si>
  <si>
    <t>30/09/2569</t>
  </si>
  <si>
    <t>ที่</t>
  </si>
  <si>
    <t>รถกฟผ.</t>
  </si>
  <si>
    <t>ทะเบียน</t>
  </si>
  <si>
    <t>ค่าภาษี</t>
  </si>
  <si>
    <t>ตรวจแก๊ส</t>
  </si>
  <si>
    <t>ตรวจสภาพ</t>
  </si>
  <si>
    <t>ตรอ.</t>
  </si>
  <si>
    <t>วันครบกำหนด</t>
  </si>
  <si>
    <t>ชำระภาษี</t>
  </si>
  <si>
    <t>สำเนาหน้าเล่มฯ</t>
  </si>
  <si>
    <t>/NPR59LU5</t>
  </si>
  <si>
    <t>80-9178 (นนทบุรี)</t>
  </si>
  <si>
    <t>/</t>
  </si>
  <si>
    <t>ดาวน์โหลด</t>
  </si>
  <si>
    <t>/NPR66PX5</t>
  </si>
  <si>
    <t>81-4158 (นนทบุรี)</t>
  </si>
  <si>
    <t>/FTR33HT</t>
  </si>
  <si>
    <t>81-4161 (นนทบุรี)</t>
  </si>
  <si>
    <t>/FTR33H</t>
  </si>
  <si>
    <t>81-4651 (นนทบุรี)</t>
  </si>
  <si>
    <t>/FTR11HY</t>
  </si>
  <si>
    <t>80-9102 (นนทบุรี)</t>
  </si>
  <si>
    <t>/FXZ23NZPFT</t>
  </si>
  <si>
    <t>81-5889 (นนทบุรี)</t>
  </si>
  <si>
    <t>/WDB-54161</t>
  </si>
  <si>
    <t>81-5866 (นนทบุรี)</t>
  </si>
  <si>
    <t>/ไม่ระบุ</t>
  </si>
  <si>
    <t>80-3864 (นนทบุรี)</t>
  </si>
  <si>
    <t>/KUN15R-PRMDYT A4</t>
  </si>
  <si>
    <t>กพ 7802 (นนทบุรี)</t>
  </si>
  <si>
    <t>กพ 7803 (นนทบุรี)</t>
  </si>
  <si>
    <t>24/09/2569</t>
  </si>
  <si>
    <t>/TFR86JCMN2 (M)</t>
  </si>
  <si>
    <t>นจ 1656 (นนทบุรี)</t>
  </si>
  <si>
    <t>/Dmax</t>
  </si>
  <si>
    <t>นจ 1623 (นนทบุรี)</t>
  </si>
  <si>
    <t>/TFR86JRMN2(M)</t>
  </si>
  <si>
    <t>นข 5501 (ลำปาง)</t>
  </si>
  <si>
    <t>/TFS85hGM9D (MM)</t>
  </si>
  <si>
    <t>กบ 5962 (นนทบุรี)</t>
  </si>
  <si>
    <t>/KUN15R-PRMDYT A7</t>
  </si>
  <si>
    <t>นจ 1251 (นนทบุรี)</t>
  </si>
  <si>
    <t>/KUN15R-PRMDYT A5</t>
  </si>
  <si>
    <t>นง 9216 (นนทบุรี)</t>
  </si>
  <si>
    <t>/KUN15R-TRMDYT B7</t>
  </si>
  <si>
    <t>นข 5185 (ลำปาง)</t>
  </si>
  <si>
    <t>19/10/2569</t>
  </si>
  <si>
    <t>บัญชีค่าภาษีรถยนต์ประจำ ไตรมาสที่ 4 2568</t>
  </si>
  <si>
    <t>/ไม่ได้ระบุ</t>
  </si>
  <si>
    <t>81-2116 (นนทบุรี)</t>
  </si>
  <si>
    <t>31/12/2568</t>
  </si>
  <si>
    <t>81-4292 (นนทบุรี)</t>
  </si>
  <si>
    <t>80-4433 (นนทบุรี)</t>
  </si>
  <si>
    <t>81-1013 (นนทบุรี)</t>
  </si>
  <si>
    <t>81-2057 (นนทบุรี)</t>
  </si>
  <si>
    <t>/PN503SLB-1250</t>
  </si>
  <si>
    <t>81-6836 (นนทบุรี)</t>
  </si>
  <si>
    <t>/DC110322</t>
  </si>
  <si>
    <t>82-2143 (นนทบุรี)</t>
  </si>
  <si>
    <t>81-6461 (นนทบุรี)</t>
  </si>
  <si>
    <t>31/12/2569</t>
  </si>
  <si>
    <t>บัญชีค่าภาษีรถยนต์ประจำ ไตรมาสที่ 4</t>
  </si>
  <si>
    <t>บัญชีค่าภาษีรถยนต์ประจำ ไตรมาสที่ 3</t>
  </si>
  <si>
    <t>บัญชีค่าภาษีรถยนต์ประจำเดือน กันยายน</t>
  </si>
  <si>
    <t>บัญชีค่าภาษีรถยนต์ประจำเดือน ตุลาคม</t>
  </si>
  <si>
    <t>บัญชีค่าภาษีรถยนต์ประจำเดือน พฤศจิกายน</t>
  </si>
  <si>
    <t>/KDH222R-LEMDYT B6</t>
  </si>
  <si>
    <t>นจ 1604 (นนทบุรี)</t>
  </si>
  <si>
    <t>นจ 1606 (นนทบุรี)</t>
  </si>
  <si>
    <t>บัญชีค่าภาษีรถยนต์ประจำเดือน ธันวาคม</t>
  </si>
  <si>
    <t>81-4293 (นนทบุรี)</t>
  </si>
  <si>
    <t>31/12/2567</t>
  </si>
  <si>
    <t>เล่มทะเบียนระบุ 01-0063</t>
  </si>
  <si>
    <t>แผนยุบสภาพ 2569</t>
  </si>
  <si>
    <t>เดือน</t>
  </si>
  <si>
    <t>ค่าภาษี 2569</t>
  </si>
  <si>
    <t>27/08/2570</t>
  </si>
  <si>
    <t>20/05/2569</t>
  </si>
  <si>
    <t>ISUZU/ZU530</t>
  </si>
  <si>
    <t>30/06/2570</t>
  </si>
  <si>
    <t>MAZDA/BT-50</t>
  </si>
  <si>
    <t>รถยนต์บรรทุก</t>
  </si>
  <si>
    <t>ISUZU/CAB4 S</t>
  </si>
  <si>
    <t>TOYOTA/DOUBLE CAB</t>
  </si>
  <si>
    <t>รถปิคอัพ 2 ตอน</t>
  </si>
  <si>
    <t>TOYOTA/COMMUTER</t>
  </si>
  <si>
    <t>รถตู้โดยสาร</t>
  </si>
  <si>
    <t>TOYOTA/B-CAB</t>
  </si>
  <si>
    <t>TOYOTA/DOUBLE CAB 4X2</t>
  </si>
  <si>
    <t>31/03/2570</t>
  </si>
  <si>
    <t>เลขทะเบียนภายใน กฟผ.</t>
  </si>
  <si>
    <t>Notify adv 3 m</t>
  </si>
  <si>
    <t>สภาพปัจจุบัน</t>
  </si>
  <si>
    <t>ใช้งาน</t>
  </si>
  <si>
    <t>จอดรองาน</t>
  </si>
  <si>
    <t>รอซ่อม</t>
  </si>
  <si>
    <t>ซ่อม</t>
  </si>
  <si>
    <t>work order</t>
  </si>
  <si>
    <t xml:space="preserve">ช่วงวันที่ใช้งาน ตาม W/O </t>
  </si>
  <si>
    <t>อหท. เป็นผู้ประเมิน</t>
  </si>
  <si>
    <t>ยุบสภาพ</t>
  </si>
  <si>
    <t>Base location</t>
  </si>
  <si>
    <t>work location</t>
  </si>
  <si>
    <t>work status</t>
  </si>
  <si>
    <t>จำนวนวันใช้งาน</t>
  </si>
  <si>
    <t>UR rate</t>
  </si>
  <si>
    <t>จำนวนเชื้อเพลิงที่เติม (ลิตร)</t>
  </si>
  <si>
    <t>เลขไมล์ต้นเดือน</t>
  </si>
  <si>
    <t>เลขไมล์สิ้นเดือน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</si>
</sst>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&quot;  &quot;"/>
    <numFmt numFmtId="166" formatCode="\t0.00E+00"/>
    <numFmt numFmtId="167" formatCode="&quot;฿&quot;\t#,##0_);\(&quot;฿&quot;\t#,##0\)"/>
    <numFmt numFmtId="168" formatCode="#,##0.0_);\(#,##0.0\)"/>
    <numFmt numFmtId="169" formatCode="\ว\ว\/\ด\ด\/\ป\ป"/>
    <numFmt numFmtId="170" formatCode="dd\-mmm\-yy_)"/>
    <numFmt numFmtId="171" formatCode="#,##0\ &quot;F&quot;;[Red]\-#,##0\ &quot;F&quot;"/>
    <numFmt numFmtId="172" formatCode="&quot;\&quot;#,##0;[Red]&quot;\&quot;\-#,##0"/>
    <numFmt numFmtId="173" formatCode="_ * #,##0_ ;_ * \-#,##0_ ;_ * &quot;-&quot;_ ;_ @_ "/>
    <numFmt numFmtId="174" formatCode="_ * #,##0.00_ ;_ * \-#,##0.00_ ;_ * &quot;-&quot;??_ ;_ @_ "/>
    <numFmt numFmtId="175" formatCode="General_)"/>
    <numFmt numFmtId="176" formatCode="ดดด\ yy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4"/>
      <name val="AngsanaUPC"/>
      <family val="1"/>
    </font>
    <font>
      <sz val="16"/>
      <color theme="1"/>
      <name val="TH SarabunPSK"/>
      <family val="2"/>
      <charset val="222"/>
    </font>
    <font>
      <u/>
      <sz val="10"/>
      <color indexed="12"/>
      <name val="Arial"/>
      <family val="2"/>
    </font>
    <font>
      <sz val="11"/>
      <color rgb="FF000000"/>
      <name val="Calibri"/>
      <family val="2"/>
      <charset val="204"/>
    </font>
    <font>
      <sz val="10"/>
      <name val="Arial"/>
      <family val="2"/>
    </font>
    <font>
      <sz val="11"/>
      <color theme="1"/>
      <name val="Microsoft Sans Serif"/>
      <family val="2"/>
      <charset val="222"/>
    </font>
    <font>
      <u/>
      <sz val="11"/>
      <color theme="10"/>
      <name val="Calibri"/>
      <family val="2"/>
      <charset val="222"/>
      <scheme val="minor"/>
    </font>
    <font>
      <sz val="14"/>
      <name val="AngsanaUPC"/>
      <family val="1"/>
      <charset val="222"/>
    </font>
    <font>
      <sz val="14"/>
      <name val="SV Rojchana"/>
      <charset val="66"/>
    </font>
    <font>
      <sz val="11"/>
      <name val="?? ?????"/>
      <family val="3"/>
      <charset val="255"/>
    </font>
    <font>
      <sz val="10"/>
      <name val="Helv"/>
      <family val="2"/>
    </font>
    <font>
      <sz val="16"/>
      <name val="DilleniaUPC"/>
      <family val="1"/>
    </font>
    <font>
      <sz val="11"/>
      <name val="??"/>
      <family val="1"/>
    </font>
    <font>
      <sz val="12"/>
      <name val="Helv"/>
      <family val="2"/>
    </font>
    <font>
      <b/>
      <sz val="14"/>
      <name val="Angsana New"/>
      <family val="1"/>
      <charset val="222"/>
    </font>
    <font>
      <b/>
      <i/>
      <sz val="24"/>
      <color indexed="49"/>
      <name val="Arial Narrow"/>
      <family val="2"/>
    </font>
    <font>
      <sz val="12"/>
      <name val="Times New Roman"/>
      <family val="1"/>
    </font>
    <font>
      <sz val="12"/>
      <name val="????"/>
      <charset val="136"/>
    </font>
    <font>
      <sz val="10"/>
      <color indexed="8"/>
      <name val="Arial"/>
      <family val="2"/>
    </font>
    <font>
      <b/>
      <sz val="14"/>
      <name val="AngsanaUPC"/>
      <family val="1"/>
    </font>
    <font>
      <sz val="8"/>
      <name val="Arial"/>
      <family val="2"/>
    </font>
    <font>
      <b/>
      <sz val="12"/>
      <name val="Arial"/>
      <family val="2"/>
    </font>
    <font>
      <sz val="14"/>
      <name val="Cordia New"/>
      <family val="3"/>
    </font>
    <font>
      <b/>
      <i/>
      <sz val="18"/>
      <color indexed="28"/>
      <name val="AngsanaUPC"/>
      <family val="1"/>
    </font>
    <font>
      <sz val="7"/>
      <name val="Small Fonts"/>
      <family val="2"/>
    </font>
    <font>
      <sz val="14"/>
      <color theme="1"/>
      <name val="EucrosiaUPC"/>
      <family val="2"/>
      <charset val="222"/>
    </font>
    <font>
      <b/>
      <sz val="16"/>
      <color rgb="FF000000"/>
      <name val="TH SarabunPSK"/>
      <family val="2"/>
    </font>
    <font>
      <sz val="16"/>
      <name val="TH Sarabun New"/>
      <family val="2"/>
    </font>
    <font>
      <u/>
      <sz val="11"/>
      <color theme="10"/>
      <name val="Calibri"/>
      <family val="2"/>
      <scheme val="minor"/>
    </font>
    <font>
      <b/>
      <sz val="16"/>
      <name val="TH Sarabun New"/>
      <family val="2"/>
    </font>
    <font>
      <sz val="16"/>
      <color theme="1"/>
      <name val="TH Sarabun New"/>
      <family val="2"/>
    </font>
    <font>
      <sz val="16"/>
      <color rgb="FFFF0000"/>
      <name val="TH Sarabun New"/>
      <family val="2"/>
    </font>
    <font>
      <u/>
      <sz val="16"/>
      <color theme="1"/>
      <name val="TH Sarabun New"/>
      <family val="2"/>
    </font>
    <font>
      <sz val="9"/>
      <color rgb="FF000000"/>
      <name val="Tahoma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sz val="11"/>
      <color theme="1"/>
      <name val="Tahoma"/>
      <family val="2"/>
    </font>
    <font>
      <sz val="11"/>
      <color rgb="FF000000"/>
      <name val="Tahoma"/>
      <family val="2"/>
    </font>
    <font>
      <u/>
      <sz val="11"/>
      <color theme="1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7"/>
      </patternFill>
    </fill>
    <fill>
      <patternFill patternType="solid">
        <fgColor theme="4" tint="0.79998168889431442"/>
        <bgColor indexed="27"/>
      </patternFill>
    </fill>
    <fill>
      <patternFill patternType="solid">
        <fgColor theme="0"/>
        <bgColor indexed="47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27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47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61">
    <xf numFmtId="0" fontId="0" fillId="0" borderId="0"/>
    <xf numFmtId="0" fontId="1" fillId="0" borderId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7" fillId="0" borderId="0"/>
    <xf numFmtId="0" fontId="8" fillId="0" borderId="0"/>
    <xf numFmtId="0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" fillId="0" borderId="0"/>
    <xf numFmtId="0" fontId="4" fillId="0" borderId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5" fontId="3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175" fontId="4" fillId="0" borderId="0" applyFont="0" applyFill="0" applyBorder="0" applyAlignment="0" applyProtection="0"/>
    <xf numFmtId="172" fontId="13" fillId="0" borderId="0" applyFont="0" applyFill="0" applyBorder="0" applyAlignment="0" applyProtection="0"/>
    <xf numFmtId="174" fontId="8" fillId="0" borderId="0" applyFont="0" applyFill="0" applyBorder="0" applyAlignment="0" applyProtection="0"/>
    <xf numFmtId="173" fontId="8" fillId="0" borderId="0" applyFont="0" applyFill="0" applyBorder="0" applyAlignment="0" applyProtection="0"/>
    <xf numFmtId="4" fontId="14" fillId="0" borderId="0" applyFont="0" applyFill="0" applyBorder="0" applyAlignment="0" applyProtection="0"/>
    <xf numFmtId="167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173" fontId="8" fillId="0" borderId="0" applyFont="0" applyFill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16" fillId="0" borderId="0"/>
    <xf numFmtId="0" fontId="17" fillId="0" borderId="0"/>
    <xf numFmtId="9" fontId="8" fillId="4" borderId="0"/>
    <xf numFmtId="0" fontId="18" fillId="0" borderId="6" applyNumberFormat="0" applyFont="0" applyBorder="0" applyAlignment="0" applyProtection="0"/>
    <xf numFmtId="0" fontId="19" fillId="2" borderId="3">
      <alignment horizontal="centerContinuous" vertical="top"/>
    </xf>
    <xf numFmtId="0" fontId="8" fillId="0" borderId="0" applyFill="0" applyBorder="0" applyAlignment="0"/>
    <xf numFmtId="168" fontId="14" fillId="0" borderId="0" applyFill="0" applyBorder="0" applyAlignment="0"/>
    <xf numFmtId="0" fontId="20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169" fontId="15" fillId="0" borderId="0" applyFill="0" applyBorder="0" applyAlignment="0"/>
    <xf numFmtId="165" fontId="15" fillId="0" borderId="0" applyFill="0" applyBorder="0" applyAlignment="0"/>
    <xf numFmtId="168" fontId="14" fillId="0" borderId="0" applyFill="0" applyBorder="0" applyAlignment="0"/>
    <xf numFmtId="169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9" fillId="2" borderId="3">
      <alignment horizontal="centerContinuous" vertical="top"/>
    </xf>
    <xf numFmtId="168" fontId="14" fillId="0" borderId="0" applyFont="0" applyFill="0" applyBorder="0" applyAlignment="0" applyProtection="0"/>
    <xf numFmtId="14" fontId="22" fillId="0" borderId="0" applyFill="0" applyBorder="0" applyAlignment="0"/>
    <xf numFmtId="15" fontId="23" fillId="5" borderId="0">
      <alignment horizontal="centerContinuous"/>
    </xf>
    <xf numFmtId="169" fontId="15" fillId="0" borderId="0" applyFill="0" applyBorder="0" applyAlignment="0"/>
    <xf numFmtId="168" fontId="14" fillId="0" borderId="0" applyFill="0" applyBorder="0" applyAlignment="0"/>
    <xf numFmtId="169" fontId="15" fillId="0" borderId="0" applyFill="0" applyBorder="0" applyAlignment="0"/>
    <xf numFmtId="165" fontId="15" fillId="0" borderId="0" applyFill="0" applyBorder="0" applyAlignment="0"/>
    <xf numFmtId="168" fontId="14" fillId="0" borderId="0" applyFill="0" applyBorder="0" applyAlignment="0"/>
    <xf numFmtId="38" fontId="24" fillId="2" borderId="0" applyNumberFormat="0" applyBorder="0" applyAlignment="0" applyProtection="0"/>
    <xf numFmtId="0" fontId="25" fillId="0" borderId="5" applyNumberFormat="0" applyAlignment="0" applyProtection="0">
      <alignment horizontal="left" vertical="center"/>
    </xf>
    <xf numFmtId="0" fontId="25" fillId="0" borderId="4">
      <alignment horizontal="left" vertical="center"/>
    </xf>
    <xf numFmtId="10" fontId="24" fillId="3" borderId="1" applyNumberFormat="0" applyBorder="0" applyAlignment="0" applyProtection="0"/>
    <xf numFmtId="169" fontId="15" fillId="0" borderId="0" applyFill="0" applyBorder="0" applyAlignment="0"/>
    <xf numFmtId="168" fontId="14" fillId="0" borderId="0" applyFill="0" applyBorder="0" applyAlignment="0"/>
    <xf numFmtId="169" fontId="15" fillId="0" borderId="0" applyFill="0" applyBorder="0" applyAlignment="0"/>
    <xf numFmtId="165" fontId="15" fillId="0" borderId="0" applyFill="0" applyBorder="0" applyAlignment="0"/>
    <xf numFmtId="168" fontId="14" fillId="0" borderId="0" applyFill="0" applyBorder="0" applyAlignment="0"/>
    <xf numFmtId="37" fontId="28" fillId="0" borderId="0"/>
    <xf numFmtId="171" fontId="20" fillId="0" borderId="0"/>
    <xf numFmtId="0" fontId="3" fillId="0" borderId="0"/>
    <xf numFmtId="0" fontId="26" fillId="0" borderId="0" applyFont="0" applyFill="0" applyBorder="0" applyAlignment="0" applyProtection="0"/>
    <xf numFmtId="169" fontId="15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0" fontId="8" fillId="0" borderId="0" applyFont="0" applyFill="0" applyBorder="0" applyAlignment="0" applyProtection="0"/>
    <xf numFmtId="169" fontId="15" fillId="0" borderId="0" applyFill="0" applyBorder="0" applyAlignment="0"/>
    <xf numFmtId="168" fontId="14" fillId="0" borderId="0" applyFill="0" applyBorder="0" applyAlignment="0"/>
    <xf numFmtId="169" fontId="15" fillId="0" borderId="0" applyFill="0" applyBorder="0" applyAlignment="0"/>
    <xf numFmtId="165" fontId="15" fillId="0" borderId="0" applyFill="0" applyBorder="0" applyAlignment="0"/>
    <xf numFmtId="168" fontId="14" fillId="0" borderId="0" applyFill="0" applyBorder="0" applyAlignment="0"/>
    <xf numFmtId="0" fontId="27" fillId="4" borderId="0"/>
    <xf numFmtId="49" fontId="22" fillId="0" borderId="0" applyFill="0" applyBorder="0" applyAlignment="0"/>
    <xf numFmtId="0" fontId="21" fillId="0" borderId="0" applyFill="0" applyBorder="0" applyAlignment="0"/>
    <xf numFmtId="0" fontId="21" fillId="0" borderId="0" applyFill="0" applyBorder="0" applyAlignment="0"/>
    <xf numFmtId="167" fontId="15" fillId="0" borderId="0" applyFont="0" applyFill="0" applyBorder="0" applyAlignment="0" applyProtection="0"/>
    <xf numFmtId="170" fontId="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4" fillId="0" borderId="0"/>
    <xf numFmtId="0" fontId="1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0" borderId="0">
      <alignment vertical="center"/>
    </xf>
    <xf numFmtId="0" fontId="18" fillId="0" borderId="6" applyNumberFormat="0" applyFon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8" fillId="0" borderId="6" applyNumberFormat="0" applyFont="0" applyBorder="0" applyAlignment="0" applyProtection="0"/>
    <xf numFmtId="0" fontId="18" fillId="0" borderId="6" applyNumberFormat="0" applyFont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8" fillId="0" borderId="6" applyNumberFormat="0" applyFon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18" fillId="0" borderId="6" applyNumberFormat="0" applyFont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" fillId="0" borderId="0"/>
    <xf numFmtId="0" fontId="34" fillId="0" borderId="0"/>
  </cellStyleXfs>
  <cellXfs count="172">
    <xf numFmtId="0" fontId="0" fillId="0" borderId="0" xfId="0"/>
    <xf numFmtId="0" fontId="34" fillId="0" borderId="0" xfId="0" applyFont="1" applyAlignment="1">
      <alignment horizontal="center"/>
    </xf>
    <xf numFmtId="0" fontId="34" fillId="0" borderId="0" xfId="0" applyFont="1"/>
    <xf numFmtId="0" fontId="33" fillId="9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/>
    </xf>
    <xf numFmtId="0" fontId="34" fillId="0" borderId="1" xfId="0" applyFont="1" applyBorder="1"/>
    <xf numFmtId="0" fontId="31" fillId="8" borderId="1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 vertical="center"/>
    </xf>
    <xf numFmtId="49" fontId="31" fillId="8" borderId="1" xfId="0" applyNumberFormat="1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left" vertical="center" wrapText="1"/>
    </xf>
    <xf numFmtId="49" fontId="31" fillId="11" borderId="1" xfId="0" applyNumberFormat="1" applyFont="1" applyFill="1" applyBorder="1" applyAlignment="1">
      <alignment horizontal="center" vertical="center"/>
    </xf>
    <xf numFmtId="0" fontId="31" fillId="8" borderId="1" xfId="17" applyFont="1" applyFill="1" applyBorder="1" applyAlignment="1">
      <alignment horizontal="center" vertical="center"/>
    </xf>
    <xf numFmtId="49" fontId="31" fillId="8" borderId="1" xfId="17" applyNumberFormat="1" applyFont="1" applyFill="1" applyBorder="1" applyAlignment="1">
      <alignment horizontal="center" vertical="center"/>
    </xf>
    <xf numFmtId="0" fontId="31" fillId="8" borderId="1" xfId="17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/>
    </xf>
    <xf numFmtId="49" fontId="31" fillId="12" borderId="1" xfId="0" applyNumberFormat="1" applyFont="1" applyFill="1" applyBorder="1" applyAlignment="1">
      <alignment horizontal="center" vertical="center"/>
    </xf>
    <xf numFmtId="0" fontId="31" fillId="8" borderId="1" xfId="23" applyFont="1" applyFill="1" applyBorder="1" applyAlignment="1">
      <alignment horizontal="left" vertical="center"/>
    </xf>
    <xf numFmtId="0" fontId="31" fillId="11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left" vertical="center"/>
    </xf>
    <xf numFmtId="49" fontId="31" fillId="0" borderId="1" xfId="0" applyNumberFormat="1" applyFont="1" applyBorder="1" applyAlignment="1">
      <alignment horizontal="center" vertical="center"/>
    </xf>
    <xf numFmtId="0" fontId="31" fillId="13" borderId="4" xfId="0" applyFont="1" applyFill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/>
    </xf>
    <xf numFmtId="0" fontId="31" fillId="0" borderId="4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/>
    </xf>
    <xf numFmtId="49" fontId="31" fillId="7" borderId="1" xfId="0" applyNumberFormat="1" applyFont="1" applyFill="1" applyBorder="1" applyAlignment="1">
      <alignment horizontal="center" vertical="center"/>
    </xf>
    <xf numFmtId="0" fontId="32" fillId="0" borderId="1" xfId="558" applyBorder="1" applyAlignment="1">
      <alignment horizontal="left"/>
    </xf>
    <xf numFmtId="0" fontId="31" fillId="11" borderId="4" xfId="0" applyFont="1" applyFill="1" applyBorder="1" applyAlignment="1">
      <alignment horizontal="center" vertical="center"/>
    </xf>
    <xf numFmtId="0" fontId="32" fillId="0" borderId="0" xfId="558"/>
    <xf numFmtId="0" fontId="35" fillId="11" borderId="1" xfId="0" applyFont="1" applyFill="1" applyBorder="1" applyAlignment="1">
      <alignment horizontal="center" vertical="center"/>
    </xf>
    <xf numFmtId="0" fontId="35" fillId="11" borderId="1" xfId="0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left" vertical="center"/>
    </xf>
    <xf numFmtId="49" fontId="35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31" fillId="11" borderId="1" xfId="0" applyFont="1" applyFill="1" applyBorder="1" applyAlignment="1">
      <alignment vertical="center"/>
    </xf>
    <xf numFmtId="49" fontId="31" fillId="14" borderId="1" xfId="0" applyNumberFormat="1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/>
    </xf>
    <xf numFmtId="0" fontId="35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left" vertical="center"/>
    </xf>
    <xf numFmtId="0" fontId="36" fillId="0" borderId="0" xfId="0" applyFont="1"/>
    <xf numFmtId="0" fontId="30" fillId="0" borderId="1" xfId="560" applyFont="1" applyBorder="1" applyAlignment="1">
      <alignment horizontal="center" vertical="center"/>
    </xf>
    <xf numFmtId="0" fontId="34" fillId="0" borderId="0" xfId="560"/>
    <xf numFmtId="0" fontId="34" fillId="0" borderId="1" xfId="560" applyBorder="1" applyAlignment="1">
      <alignment horizontal="center"/>
    </xf>
    <xf numFmtId="0" fontId="34" fillId="0" borderId="1" xfId="560" applyBorder="1" applyAlignment="1">
      <alignment horizontal="center" vertical="center"/>
    </xf>
    <xf numFmtId="0" fontId="34" fillId="8" borderId="1" xfId="560" applyFill="1" applyBorder="1" applyAlignment="1">
      <alignment horizontal="center" vertical="center"/>
    </xf>
    <xf numFmtId="0" fontId="34" fillId="6" borderId="1" xfId="560" applyFill="1" applyBorder="1" applyAlignment="1">
      <alignment horizontal="center" vertical="center"/>
    </xf>
    <xf numFmtId="0" fontId="31" fillId="8" borderId="1" xfId="17" applyFont="1" applyFill="1" applyBorder="1" applyAlignment="1">
      <alignment horizontal="center" vertical="center" wrapText="1"/>
    </xf>
    <xf numFmtId="49" fontId="31" fillId="12" borderId="1" xfId="560" applyNumberFormat="1" applyFont="1" applyFill="1" applyBorder="1" applyAlignment="1">
      <alignment horizontal="center" vertical="center"/>
    </xf>
    <xf numFmtId="0" fontId="31" fillId="8" borderId="1" xfId="560" applyFont="1" applyFill="1" applyBorder="1" applyAlignment="1">
      <alignment horizontal="center" vertical="center"/>
    </xf>
    <xf numFmtId="0" fontId="31" fillId="8" borderId="1" xfId="560" applyFont="1" applyFill="1" applyBorder="1" applyAlignment="1">
      <alignment horizontal="left" vertical="center" wrapText="1"/>
    </xf>
    <xf numFmtId="49" fontId="31" fillId="11" borderId="1" xfId="560" applyNumberFormat="1" applyFont="1" applyFill="1" applyBorder="1" applyAlignment="1">
      <alignment horizontal="center" vertical="center"/>
    </xf>
    <xf numFmtId="0" fontId="31" fillId="11" borderId="1" xfId="560" applyFont="1" applyFill="1" applyBorder="1" applyAlignment="1">
      <alignment horizontal="center" vertical="center"/>
    </xf>
    <xf numFmtId="0" fontId="31" fillId="11" borderId="1" xfId="560" applyFont="1" applyFill="1" applyBorder="1" applyAlignment="1">
      <alignment horizontal="left" vertical="center"/>
    </xf>
    <xf numFmtId="49" fontId="31" fillId="0" borderId="1" xfId="560" applyNumberFormat="1" applyFont="1" applyBorder="1" applyAlignment="1">
      <alignment horizontal="center" vertical="center"/>
    </xf>
    <xf numFmtId="49" fontId="31" fillId="7" borderId="1" xfId="560" applyNumberFormat="1" applyFont="1" applyFill="1" applyBorder="1" applyAlignment="1">
      <alignment horizontal="center" vertical="center"/>
    </xf>
    <xf numFmtId="0" fontId="31" fillId="13" borderId="1" xfId="560" applyFont="1" applyFill="1" applyBorder="1" applyAlignment="1">
      <alignment horizontal="center" vertical="center"/>
    </xf>
    <xf numFmtId="0" fontId="31" fillId="13" borderId="1" xfId="560" applyFont="1" applyFill="1" applyBorder="1" applyAlignment="1">
      <alignment horizontal="left" vertical="center"/>
    </xf>
    <xf numFmtId="0" fontId="31" fillId="11" borderId="1" xfId="560" applyFont="1" applyFill="1" applyBorder="1" applyAlignment="1">
      <alignment vertical="center"/>
    </xf>
    <xf numFmtId="49" fontId="31" fillId="14" borderId="1" xfId="560" applyNumberFormat="1" applyFont="1" applyFill="1" applyBorder="1" applyAlignment="1">
      <alignment horizontal="center" vertical="center"/>
    </xf>
    <xf numFmtId="0" fontId="34" fillId="0" borderId="0" xfId="560" applyAlignment="1">
      <alignment horizontal="center"/>
    </xf>
    <xf numFmtId="0" fontId="34" fillId="8" borderId="0" xfId="560" applyFill="1"/>
    <xf numFmtId="49" fontId="31" fillId="15" borderId="1" xfId="0" applyNumberFormat="1" applyFont="1" applyFill="1" applyBorder="1" applyAlignment="1">
      <alignment horizontal="center" vertical="center"/>
    </xf>
    <xf numFmtId="49" fontId="31" fillId="6" borderId="1" xfId="0" applyNumberFormat="1" applyFont="1" applyFill="1" applyBorder="1" applyAlignment="1">
      <alignment horizontal="center" vertical="center"/>
    </xf>
    <xf numFmtId="0" fontId="31" fillId="15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/>
    </xf>
    <xf numFmtId="176" fontId="33" fillId="9" borderId="1" xfId="0" applyNumberFormat="1" applyFont="1" applyFill="1" applyBorder="1" applyAlignment="1">
      <alignment horizontal="center" vertical="center"/>
    </xf>
    <xf numFmtId="49" fontId="31" fillId="9" borderId="1" xfId="0" applyNumberFormat="1" applyFont="1" applyFill="1" applyBorder="1" applyAlignment="1">
      <alignment horizontal="center" vertical="center"/>
    </xf>
    <xf numFmtId="0" fontId="31" fillId="8" borderId="1" xfId="23" applyFont="1" applyFill="1" applyBorder="1" applyAlignment="1">
      <alignment horizontal="center" vertical="center"/>
    </xf>
    <xf numFmtId="0" fontId="34" fillId="0" borderId="0" xfId="0" applyFont="1" applyAlignment="1">
      <alignment horizontal="right"/>
    </xf>
    <xf numFmtId="0" fontId="34" fillId="0" borderId="0" xfId="0" applyFont="1" applyAlignment="1">
      <alignment horizontal="left"/>
    </xf>
    <xf numFmtId="0" fontId="34" fillId="0" borderId="7" xfId="0" applyFont="1" applyBorder="1" applyAlignment="1">
      <alignment horizontal="center"/>
    </xf>
    <xf numFmtId="176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3" fillId="8" borderId="0" xfId="0" applyFont="1" applyFill="1" applyAlignment="1">
      <alignment horizontal="left"/>
    </xf>
    <xf numFmtId="0" fontId="33" fillId="10" borderId="4" xfId="0" applyFont="1" applyFill="1" applyBorder="1" applyAlignment="1">
      <alignment horizontal="center"/>
    </xf>
    <xf numFmtId="0" fontId="33" fillId="10" borderId="7" xfId="0" applyFont="1" applyFill="1" applyBorder="1" applyAlignment="1">
      <alignment horizontal="center"/>
    </xf>
    <xf numFmtId="0" fontId="33" fillId="7" borderId="4" xfId="0" applyFont="1" applyFill="1" applyBorder="1" applyAlignment="1">
      <alignment horizontal="center"/>
    </xf>
    <xf numFmtId="0" fontId="33" fillId="7" borderId="7" xfId="0" applyFont="1" applyFill="1" applyBorder="1" applyAlignment="1">
      <alignment horizontal="center"/>
    </xf>
    <xf numFmtId="0" fontId="33" fillId="7" borderId="3" xfId="0" applyFont="1" applyFill="1" applyBorder="1" applyAlignment="1">
      <alignment horizontal="left"/>
    </xf>
    <xf numFmtId="0" fontId="33" fillId="10" borderId="3" xfId="0" applyFont="1" applyFill="1" applyBorder="1" applyAlignment="1">
      <alignment horizontal="left"/>
    </xf>
    <xf numFmtId="14" fontId="34" fillId="0" borderId="0" xfId="560" applyNumberFormat="1" applyAlignment="1">
      <alignment horizontal="center"/>
    </xf>
    <xf numFmtId="4" fontId="34" fillId="0" borderId="0" xfId="560" applyNumberFormat="1"/>
    <xf numFmtId="0" fontId="34" fillId="18" borderId="0" xfId="560" applyFill="1" applyAlignment="1">
      <alignment horizontal="center"/>
    </xf>
    <xf numFmtId="0" fontId="38" fillId="16" borderId="0" xfId="0" applyFont="1" applyFill="1" applyAlignment="1">
      <alignment horizontal="center" vertical="center" wrapText="1" readingOrder="1"/>
    </xf>
    <xf numFmtId="0" fontId="41" fillId="16" borderId="11" xfId="0" applyFont="1" applyFill="1" applyBorder="1" applyAlignment="1">
      <alignment horizontal="center" vertical="center" wrapText="1"/>
    </xf>
    <xf numFmtId="0" fontId="41" fillId="16" borderId="12" xfId="0" applyFont="1" applyFill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 readingOrder="1"/>
    </xf>
    <xf numFmtId="0" fontId="40" fillId="0" borderId="12" xfId="0" applyFont="1" applyBorder="1" applyAlignment="1">
      <alignment horizontal="center" vertical="center" wrapText="1" readingOrder="1"/>
    </xf>
    <xf numFmtId="0" fontId="40" fillId="0" borderId="13" xfId="0" applyFont="1" applyBorder="1" applyAlignment="1">
      <alignment horizontal="center" vertical="center" wrapText="1" readingOrder="1"/>
    </xf>
    <xf numFmtId="0" fontId="40" fillId="0" borderId="14" xfId="0" applyFont="1" applyBorder="1" applyAlignment="1">
      <alignment horizontal="center" vertical="center" wrapText="1" readingOrder="1"/>
    </xf>
    <xf numFmtId="4" fontId="40" fillId="0" borderId="14" xfId="0" applyNumberFormat="1" applyFont="1" applyBorder="1" applyAlignment="1">
      <alignment horizontal="center" vertical="center" wrapText="1" readingOrder="1"/>
    </xf>
    <xf numFmtId="0" fontId="40" fillId="0" borderId="15" xfId="0" applyFont="1" applyBorder="1" applyAlignment="1">
      <alignment horizontal="center" vertical="center" wrapText="1" readingOrder="1"/>
    </xf>
    <xf numFmtId="0" fontId="41" fillId="16" borderId="11" xfId="0" applyFont="1" applyFill="1" applyBorder="1" applyAlignment="1">
      <alignment horizontal="center" vertical="center" wrapText="1" readingOrder="1"/>
    </xf>
    <xf numFmtId="0" fontId="41" fillId="16" borderId="12" xfId="0" applyFont="1" applyFill="1" applyBorder="1" applyAlignment="1">
      <alignment horizontal="center" vertical="center" wrapText="1" readingOrder="1"/>
    </xf>
    <xf numFmtId="0" fontId="34" fillId="19" borderId="0" xfId="560" applyFill="1" applyAlignment="1">
      <alignment horizontal="center"/>
    </xf>
    <xf numFmtId="0" fontId="40" fillId="0" borderId="0" xfId="0" applyFont="1"/>
    <xf numFmtId="0" fontId="41" fillId="16" borderId="1" xfId="0" applyFont="1" applyFill="1" applyBorder="1" applyAlignment="1">
      <alignment horizontal="center" vertical="center" wrapText="1" readingOrder="1"/>
    </xf>
    <xf numFmtId="0" fontId="42" fillId="0" borderId="14" xfId="558" applyFont="1" applyBorder="1" applyAlignment="1">
      <alignment horizontal="center" vertical="center" wrapText="1" readingOrder="1"/>
    </xf>
    <xf numFmtId="0" fontId="35" fillId="8" borderId="1" xfId="560" applyFont="1" applyFill="1" applyBorder="1" applyAlignment="1">
      <alignment horizontal="center" vertical="center"/>
    </xf>
    <xf numFmtId="0" fontId="35" fillId="0" borderId="1" xfId="56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35" fillId="0" borderId="0" xfId="560" applyFont="1" applyAlignment="1">
      <alignment horizontal="center"/>
    </xf>
    <xf numFmtId="0" fontId="35" fillId="8" borderId="1" xfId="560" applyFont="1" applyFill="1" applyBorder="1" applyAlignment="1">
      <alignment horizontal="left" vertical="center" wrapText="1"/>
    </xf>
    <xf numFmtId="14" fontId="35" fillId="0" borderId="0" xfId="560" applyNumberFormat="1" applyFont="1" applyAlignment="1">
      <alignment horizontal="center"/>
    </xf>
    <xf numFmtId="0" fontId="34" fillId="0" borderId="0" xfId="560" applyAlignment="1">
      <alignment horizontal="center" vertical="center"/>
    </xf>
    <xf numFmtId="0" fontId="35" fillId="0" borderId="0" xfId="560" applyFont="1" applyAlignment="1">
      <alignment horizontal="center" vertical="center"/>
    </xf>
    <xf numFmtId="0" fontId="34" fillId="0" borderId="0" xfId="560" applyAlignment="1">
      <alignment horizontal="center" vertical="center" wrapText="1"/>
    </xf>
    <xf numFmtId="0" fontId="31" fillId="8" borderId="1" xfId="560" applyFont="1" applyFill="1" applyBorder="1" applyAlignment="1">
      <alignment horizontal="center" vertical="center" wrapText="1"/>
    </xf>
    <xf numFmtId="0" fontId="35" fillId="8" borderId="1" xfId="560" applyFont="1" applyFill="1" applyBorder="1" applyAlignment="1">
      <alignment horizontal="center" vertical="center" wrapText="1"/>
    </xf>
    <xf numFmtId="0" fontId="30" fillId="0" borderId="1" xfId="560" applyFont="1" applyBorder="1" applyAlignment="1">
      <alignment horizontal="center" vertical="center" wrapText="1"/>
    </xf>
    <xf numFmtId="0" fontId="30" fillId="8" borderId="1" xfId="560" applyFont="1" applyFill="1" applyBorder="1" applyAlignment="1">
      <alignment horizontal="center" vertical="center" wrapText="1"/>
    </xf>
    <xf numFmtId="0" fontId="30" fillId="7" borderId="1" xfId="560" applyFont="1" applyFill="1" applyBorder="1" applyAlignment="1">
      <alignment horizontal="center" vertical="center" wrapText="1"/>
    </xf>
    <xf numFmtId="0" fontId="30" fillId="20" borderId="1" xfId="560" applyFont="1" applyFill="1" applyBorder="1" applyAlignment="1">
      <alignment horizontal="center" vertical="center" wrapText="1"/>
    </xf>
    <xf numFmtId="0" fontId="30" fillId="0" borderId="0" xfId="560" applyFont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8" fillId="16" borderId="0" xfId="0" applyFont="1" applyFill="1" applyAlignment="1">
      <alignment horizontal="center" vertical="center" wrapText="1" readingOrder="1"/>
    </xf>
    <xf numFmtId="0" fontId="39" fillId="0" borderId="11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 wrapText="1"/>
    </xf>
    <xf numFmtId="0" fontId="41" fillId="16" borderId="11" xfId="0" applyFont="1" applyFill="1" applyBorder="1" applyAlignment="1">
      <alignment horizontal="center" vertical="center" wrapText="1"/>
    </xf>
    <xf numFmtId="0" fontId="41" fillId="16" borderId="12" xfId="0" applyFont="1" applyFill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 readingOrder="1"/>
    </xf>
    <xf numFmtId="0" fontId="40" fillId="0" borderId="12" xfId="0" applyFont="1" applyBorder="1" applyAlignment="1">
      <alignment horizontal="center" vertical="center" wrapText="1" readingOrder="1"/>
    </xf>
    <xf numFmtId="4" fontId="40" fillId="0" borderId="11" xfId="0" applyNumberFormat="1" applyFont="1" applyBorder="1" applyAlignment="1">
      <alignment horizontal="center" vertical="center" wrapText="1" readingOrder="1"/>
    </xf>
    <xf numFmtId="4" fontId="40" fillId="0" borderId="12" xfId="0" applyNumberFormat="1" applyFont="1" applyBorder="1" applyAlignment="1">
      <alignment horizontal="center" vertical="center" wrapText="1" readingOrder="1"/>
    </xf>
    <xf numFmtId="0" fontId="41" fillId="16" borderId="1" xfId="0" applyFont="1" applyFill="1" applyBorder="1" applyAlignment="1">
      <alignment horizontal="center" vertical="center" wrapText="1" readingOrder="1"/>
    </xf>
    <xf numFmtId="0" fontId="37" fillId="16" borderId="2" xfId="0" applyFont="1" applyFill="1" applyBorder="1" applyAlignment="1">
      <alignment horizontal="center" vertical="center" wrapText="1" readingOrder="1"/>
    </xf>
    <xf numFmtId="14" fontId="41" fillId="16" borderId="1" xfId="0" applyNumberFormat="1" applyFont="1" applyFill="1" applyBorder="1" applyAlignment="1">
      <alignment horizontal="center" vertical="center" wrapText="1" readingOrder="1"/>
    </xf>
    <xf numFmtId="0" fontId="42" fillId="16" borderId="1" xfId="558" applyFont="1" applyFill="1" applyBorder="1" applyAlignment="1">
      <alignment horizontal="center" vertical="center" wrapText="1" readingOrder="1"/>
    </xf>
    <xf numFmtId="0" fontId="40" fillId="0" borderId="8" xfId="0" applyFont="1" applyBorder="1" applyAlignment="1">
      <alignment horizontal="center" vertical="center" wrapText="1" readingOrder="1"/>
    </xf>
    <xf numFmtId="0" fontId="40" fillId="0" borderId="9" xfId="0" applyFont="1" applyBorder="1" applyAlignment="1">
      <alignment horizontal="center" vertical="center" wrapText="1" readingOrder="1"/>
    </xf>
    <xf numFmtId="0" fontId="40" fillId="0" borderId="10" xfId="0" applyFont="1" applyBorder="1" applyAlignment="1">
      <alignment horizontal="center" vertical="center" wrapText="1" readingOrder="1"/>
    </xf>
    <xf numFmtId="0" fontId="41" fillId="16" borderId="11" xfId="0" applyFont="1" applyFill="1" applyBorder="1" applyAlignment="1">
      <alignment horizontal="center" vertical="center" wrapText="1" readingOrder="1"/>
    </xf>
    <xf numFmtId="0" fontId="41" fillId="16" borderId="12" xfId="0" applyFont="1" applyFill="1" applyBorder="1" applyAlignment="1">
      <alignment horizontal="center" vertical="center" wrapText="1" readingOrder="1"/>
    </xf>
    <xf numFmtId="0" fontId="32" fillId="16" borderId="0" xfId="558" applyFill="1" applyAlignment="1">
      <alignment horizontal="center" vertical="center" wrapText="1" readingOrder="1"/>
    </xf>
    <xf numFmtId="14" fontId="40" fillId="0" borderId="11" xfId="0" applyNumberFormat="1" applyFont="1" applyBorder="1" applyAlignment="1">
      <alignment horizontal="center" vertical="center" wrapText="1" readingOrder="1"/>
    </xf>
    <xf numFmtId="14" fontId="40" fillId="0" borderId="12" xfId="0" applyNumberFormat="1" applyFont="1" applyBorder="1" applyAlignment="1">
      <alignment horizontal="center" vertical="center" wrapText="1" readingOrder="1"/>
    </xf>
    <xf numFmtId="0" fontId="42" fillId="0" borderId="11" xfId="558" applyFont="1" applyBorder="1" applyAlignment="1">
      <alignment horizontal="center" vertical="center" wrapText="1" readingOrder="1"/>
    </xf>
    <xf numFmtId="0" fontId="42" fillId="0" borderId="12" xfId="558" applyFont="1" applyBorder="1" applyAlignment="1">
      <alignment horizontal="center" vertical="center" wrapText="1" readingOrder="1"/>
    </xf>
    <xf numFmtId="14" fontId="41" fillId="16" borderId="11" xfId="0" applyNumberFormat="1" applyFont="1" applyFill="1" applyBorder="1" applyAlignment="1">
      <alignment horizontal="center" vertical="center" wrapText="1" readingOrder="1"/>
    </xf>
    <xf numFmtId="14" fontId="41" fillId="16" borderId="12" xfId="0" applyNumberFormat="1" applyFont="1" applyFill="1" applyBorder="1" applyAlignment="1">
      <alignment horizontal="center" vertical="center" wrapText="1" readingOrder="1"/>
    </xf>
    <xf numFmtId="0" fontId="42" fillId="16" borderId="11" xfId="558" applyFont="1" applyFill="1" applyBorder="1" applyAlignment="1">
      <alignment horizontal="center" vertical="center" wrapText="1" readingOrder="1"/>
    </xf>
    <xf numFmtId="0" fontId="42" fillId="16" borderId="12" xfId="558" applyFont="1" applyFill="1" applyBorder="1" applyAlignment="1">
      <alignment horizontal="center" vertical="center" wrapText="1" readingOrder="1"/>
    </xf>
    <xf numFmtId="14" fontId="39" fillId="0" borderId="11" xfId="0" applyNumberFormat="1" applyFont="1" applyBorder="1" applyAlignment="1">
      <alignment horizontal="center" vertical="center" wrapText="1"/>
    </xf>
    <xf numFmtId="14" fontId="39" fillId="0" borderId="12" xfId="0" applyNumberFormat="1" applyFont="1" applyBorder="1" applyAlignment="1">
      <alignment horizontal="center" vertical="center" wrapText="1"/>
    </xf>
    <xf numFmtId="0" fontId="32" fillId="0" borderId="11" xfId="558" applyBorder="1" applyAlignment="1">
      <alignment horizontal="center" vertical="center" wrapText="1"/>
    </xf>
    <xf numFmtId="0" fontId="32" fillId="0" borderId="12" xfId="558" applyBorder="1" applyAlignment="1">
      <alignment horizontal="center" vertical="center" wrapText="1"/>
    </xf>
    <xf numFmtId="4" fontId="38" fillId="16" borderId="0" xfId="0" applyNumberFormat="1" applyFont="1" applyFill="1" applyAlignment="1">
      <alignment horizontal="center" vertical="center" wrapText="1" readingOrder="1"/>
    </xf>
    <xf numFmtId="4" fontId="41" fillId="16" borderId="1" xfId="0" applyNumberFormat="1" applyFont="1" applyFill="1" applyBorder="1" applyAlignment="1">
      <alignment horizontal="center" vertical="center" wrapText="1" readingOrder="1"/>
    </xf>
    <xf numFmtId="14" fontId="41" fillId="16" borderId="11" xfId="0" applyNumberFormat="1" applyFont="1" applyFill="1" applyBorder="1" applyAlignment="1">
      <alignment horizontal="center" vertical="center" wrapText="1"/>
    </xf>
    <xf numFmtId="14" fontId="41" fillId="16" borderId="12" xfId="0" applyNumberFormat="1" applyFont="1" applyFill="1" applyBorder="1" applyAlignment="1">
      <alignment horizontal="center" vertical="center" wrapText="1"/>
    </xf>
    <xf numFmtId="0" fontId="42" fillId="16" borderId="11" xfId="558" applyFont="1" applyFill="1" applyBorder="1" applyAlignment="1">
      <alignment horizontal="center" vertical="center" wrapText="1"/>
    </xf>
    <xf numFmtId="0" fontId="42" fillId="16" borderId="12" xfId="558" applyFont="1" applyFill="1" applyBorder="1" applyAlignment="1">
      <alignment horizontal="center" vertical="center" wrapText="1"/>
    </xf>
    <xf numFmtId="4" fontId="41" fillId="16" borderId="11" xfId="0" applyNumberFormat="1" applyFont="1" applyFill="1" applyBorder="1" applyAlignment="1">
      <alignment horizontal="center" vertical="center" wrapText="1"/>
    </xf>
    <xf numFmtId="4" fontId="41" fillId="16" borderId="12" xfId="0" applyNumberFormat="1" applyFont="1" applyFill="1" applyBorder="1" applyAlignment="1">
      <alignment horizontal="center" vertical="center" wrapText="1"/>
    </xf>
    <xf numFmtId="0" fontId="41" fillId="16" borderId="8" xfId="0" applyFont="1" applyFill="1" applyBorder="1" applyAlignment="1">
      <alignment horizontal="center" vertical="center" wrapText="1"/>
    </xf>
    <xf numFmtId="0" fontId="41" fillId="16" borderId="9" xfId="0" applyFont="1" applyFill="1" applyBorder="1" applyAlignment="1">
      <alignment horizontal="center" vertical="center" wrapText="1"/>
    </xf>
    <xf numFmtId="0" fontId="41" fillId="16" borderId="10" xfId="0" applyFont="1" applyFill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4" fontId="39" fillId="0" borderId="12" xfId="0" applyNumberFormat="1" applyFont="1" applyBorder="1" applyAlignment="1">
      <alignment horizontal="center" vertical="center" wrapText="1"/>
    </xf>
    <xf numFmtId="4" fontId="41" fillId="16" borderId="11" xfId="0" applyNumberFormat="1" applyFont="1" applyFill="1" applyBorder="1" applyAlignment="1">
      <alignment horizontal="center" vertical="center" wrapText="1" readingOrder="1"/>
    </xf>
    <xf numFmtId="4" fontId="41" fillId="16" borderId="12" xfId="0" applyNumberFormat="1" applyFont="1" applyFill="1" applyBorder="1" applyAlignment="1">
      <alignment horizontal="center" vertical="center" wrapText="1" readingOrder="1"/>
    </xf>
    <xf numFmtId="0" fontId="41" fillId="16" borderId="8" xfId="0" applyFont="1" applyFill="1" applyBorder="1" applyAlignment="1">
      <alignment horizontal="center" vertical="center" wrapText="1" readingOrder="1"/>
    </xf>
    <xf numFmtId="0" fontId="41" fillId="16" borderId="9" xfId="0" applyFont="1" applyFill="1" applyBorder="1" applyAlignment="1">
      <alignment horizontal="center" vertical="center" wrapText="1" readingOrder="1"/>
    </xf>
    <xf numFmtId="0" fontId="41" fillId="16" borderId="10" xfId="0" applyFont="1" applyFill="1" applyBorder="1" applyAlignment="1">
      <alignment horizontal="center" vertical="center" wrapText="1" readingOrder="1"/>
    </xf>
  </cellXfs>
  <cellStyles count="561">
    <cellStyle name=",;F'KOIT[[WAAHK" xfId="76" xr:uid="{00000000-0005-0000-0000-000000000000}"/>
    <cellStyle name=",;F'KOIT[[WAAHK 2" xfId="77" xr:uid="{00000000-0005-0000-0000-000001000000}"/>
    <cellStyle name=",;F'KOIT[[WAAHK 2 2" xfId="258" xr:uid="{00000000-0005-0000-0000-000002000000}"/>
    <cellStyle name="?? [0.00]_????" xfId="78" xr:uid="{00000000-0005-0000-0000-000003000000}"/>
    <cellStyle name="?? [0]_PERSONAL" xfId="79" xr:uid="{00000000-0005-0000-0000-000004000000}"/>
    <cellStyle name="???? [0.00]_????" xfId="80" xr:uid="{00000000-0005-0000-0000-000005000000}"/>
    <cellStyle name="??????[0]_PERSONAL" xfId="81" xr:uid="{00000000-0005-0000-0000-000006000000}"/>
    <cellStyle name="??????PERSONAL" xfId="82" xr:uid="{00000000-0005-0000-0000-000007000000}"/>
    <cellStyle name="?????[0]_PERSONAL" xfId="83" xr:uid="{00000000-0005-0000-0000-000008000000}"/>
    <cellStyle name="?????PERSONAL" xfId="84" xr:uid="{00000000-0005-0000-0000-000009000000}"/>
    <cellStyle name="????_????" xfId="85" xr:uid="{00000000-0005-0000-0000-00000A000000}"/>
    <cellStyle name="???[0]_PERSONAL" xfId="86" xr:uid="{00000000-0005-0000-0000-00000B000000}"/>
    <cellStyle name="???_PERSONAL" xfId="87" xr:uid="{00000000-0005-0000-0000-00000C000000}"/>
    <cellStyle name="??_??" xfId="88" xr:uid="{00000000-0005-0000-0000-00000D000000}"/>
    <cellStyle name="?@??laroux" xfId="89" xr:uid="{00000000-0005-0000-0000-00000E000000}"/>
    <cellStyle name="=C:\WINDOWS\SYSTEM32\COMMAND.COM" xfId="90" xr:uid="{00000000-0005-0000-0000-00000F000000}"/>
    <cellStyle name="a" xfId="91" xr:uid="{00000000-0005-0000-0000-000010000000}"/>
    <cellStyle name="a 2" xfId="259" xr:uid="{00000000-0005-0000-0000-000011000000}"/>
    <cellStyle name="a 2 2" xfId="410" xr:uid="{00000000-0005-0000-0000-000012000000}"/>
    <cellStyle name="a 2 3" xfId="351" xr:uid="{00000000-0005-0000-0000-000013000000}"/>
    <cellStyle name="a 3" xfId="322" xr:uid="{00000000-0005-0000-0000-000014000000}"/>
    <cellStyle name="a 4" xfId="323" xr:uid="{00000000-0005-0000-0000-000015000000}"/>
    <cellStyle name="abc" xfId="92" xr:uid="{00000000-0005-0000-0000-000016000000}"/>
    <cellStyle name="Calc Currency (0)" xfId="93" xr:uid="{00000000-0005-0000-0000-000017000000}"/>
    <cellStyle name="Calc Currency (2)" xfId="94" xr:uid="{00000000-0005-0000-0000-000018000000}"/>
    <cellStyle name="Calc Percent (0)" xfId="95" xr:uid="{00000000-0005-0000-0000-000019000000}"/>
    <cellStyle name="Calc Percent (1)" xfId="96" xr:uid="{00000000-0005-0000-0000-00001A000000}"/>
    <cellStyle name="Calc Percent (2)" xfId="97" xr:uid="{00000000-0005-0000-0000-00001B000000}"/>
    <cellStyle name="Calc Units (0)" xfId="98" xr:uid="{00000000-0005-0000-0000-00001C000000}"/>
    <cellStyle name="Calc Units (1)" xfId="99" xr:uid="{00000000-0005-0000-0000-00001D000000}"/>
    <cellStyle name="Calc Units (2)" xfId="100" xr:uid="{00000000-0005-0000-0000-00001E000000}"/>
    <cellStyle name="Comma [00]" xfId="101" xr:uid="{00000000-0005-0000-0000-000020000000}"/>
    <cellStyle name="Comma 10" xfId="44" xr:uid="{00000000-0005-0000-0000-000021000000}"/>
    <cellStyle name="Comma 10 2" xfId="34" xr:uid="{00000000-0005-0000-0000-000022000000}"/>
    <cellStyle name="Comma 10 2 2" xfId="50" xr:uid="{00000000-0005-0000-0000-000023000000}"/>
    <cellStyle name="Comma 10 2 2 2" xfId="198" xr:uid="{00000000-0005-0000-0000-000024000000}"/>
    <cellStyle name="Comma 10 2 2 3" xfId="379" xr:uid="{00000000-0005-0000-0000-000025000000}"/>
    <cellStyle name="Comma 10 2 2 4" xfId="460" xr:uid="{00000000-0005-0000-0000-000026000000}"/>
    <cellStyle name="Comma 10 2 2 5" xfId="517" xr:uid="{00000000-0005-0000-0000-000027000000}"/>
    <cellStyle name="Comma 10 2 3" xfId="71" xr:uid="{00000000-0005-0000-0000-000028000000}"/>
    <cellStyle name="Comma 10 2 3 2" xfId="208" xr:uid="{00000000-0005-0000-0000-000029000000}"/>
    <cellStyle name="Comma 10 2 4" xfId="186" xr:uid="{00000000-0005-0000-0000-00002A000000}"/>
    <cellStyle name="Comma 10 2 5" xfId="283" xr:uid="{00000000-0005-0000-0000-00002B000000}"/>
    <cellStyle name="Comma 10 2 6" xfId="435" xr:uid="{00000000-0005-0000-0000-00002C000000}"/>
    <cellStyle name="Comma 10 2 7" xfId="493" xr:uid="{00000000-0005-0000-0000-00002D000000}"/>
    <cellStyle name="Comma 10 3" xfId="58" xr:uid="{00000000-0005-0000-0000-00002E000000}"/>
    <cellStyle name="Comma 10 3 2" xfId="206" xr:uid="{00000000-0005-0000-0000-00002F000000}"/>
    <cellStyle name="Comma 10 4" xfId="74" xr:uid="{00000000-0005-0000-0000-000030000000}"/>
    <cellStyle name="Comma 10 4 2" xfId="211" xr:uid="{00000000-0005-0000-0000-000031000000}"/>
    <cellStyle name="Comma 10 5" xfId="194" xr:uid="{00000000-0005-0000-0000-000032000000}"/>
    <cellStyle name="Comma 10 6" xfId="238" xr:uid="{00000000-0005-0000-0000-000033000000}"/>
    <cellStyle name="Comma 10 7" xfId="420" xr:uid="{00000000-0005-0000-0000-000034000000}"/>
    <cellStyle name="Comma 10 8" xfId="478" xr:uid="{00000000-0005-0000-0000-000035000000}"/>
    <cellStyle name="Comma 11" xfId="168" xr:uid="{00000000-0005-0000-0000-000036000000}"/>
    <cellStyle name="Comma 11 2" xfId="289" xr:uid="{00000000-0005-0000-0000-000037000000}"/>
    <cellStyle name="Comma 11 2 2" xfId="385" xr:uid="{00000000-0005-0000-0000-000038000000}"/>
    <cellStyle name="Comma 11 3" xfId="344" xr:uid="{00000000-0005-0000-0000-000039000000}"/>
    <cellStyle name="Comma 11 4" xfId="244" xr:uid="{00000000-0005-0000-0000-00003A000000}"/>
    <cellStyle name="Comma 12" xfId="182" xr:uid="{00000000-0005-0000-0000-00003B000000}"/>
    <cellStyle name="Comma 12 2" xfId="222" xr:uid="{00000000-0005-0000-0000-00003C000000}"/>
    <cellStyle name="Comma 12 2 2" xfId="390" xr:uid="{00000000-0005-0000-0000-00003D000000}"/>
    <cellStyle name="Comma 12 2 2 2" xfId="463" xr:uid="{00000000-0005-0000-0000-00003E000000}"/>
    <cellStyle name="Comma 12 2 2 3" xfId="520" xr:uid="{00000000-0005-0000-0000-00003F000000}"/>
    <cellStyle name="Comma 12 2 3" xfId="294" xr:uid="{00000000-0005-0000-0000-000040000000}"/>
    <cellStyle name="Comma 12 2 4" xfId="438" xr:uid="{00000000-0005-0000-0000-000041000000}"/>
    <cellStyle name="Comma 12 2 5" xfId="496" xr:uid="{00000000-0005-0000-0000-000042000000}"/>
    <cellStyle name="Comma 12 3" xfId="355" xr:uid="{00000000-0005-0000-0000-000043000000}"/>
    <cellStyle name="Comma 12 3 2" xfId="450" xr:uid="{00000000-0005-0000-0000-000044000000}"/>
    <cellStyle name="Comma 12 3 3" xfId="508" xr:uid="{00000000-0005-0000-0000-000045000000}"/>
    <cellStyle name="Comma 12 4" xfId="254" xr:uid="{00000000-0005-0000-0000-000046000000}"/>
    <cellStyle name="Comma 12 5" xfId="426" xr:uid="{00000000-0005-0000-0000-000047000000}"/>
    <cellStyle name="Comma 12 6" xfId="484" xr:uid="{00000000-0005-0000-0000-000048000000}"/>
    <cellStyle name="Comma 13" xfId="155" xr:uid="{00000000-0005-0000-0000-000049000000}"/>
    <cellStyle name="Comma 13 2" xfId="213" xr:uid="{00000000-0005-0000-0000-00004A000000}"/>
    <cellStyle name="Comma 13 2 2" xfId="391" xr:uid="{00000000-0005-0000-0000-00004B000000}"/>
    <cellStyle name="Comma 13 2 2 2" xfId="464" xr:uid="{00000000-0005-0000-0000-00004C000000}"/>
    <cellStyle name="Comma 13 2 2 3" xfId="521" xr:uid="{00000000-0005-0000-0000-00004D000000}"/>
    <cellStyle name="Comma 13 2 3" xfId="295" xr:uid="{00000000-0005-0000-0000-00004E000000}"/>
    <cellStyle name="Comma 13 2 4" xfId="439" xr:uid="{00000000-0005-0000-0000-00004F000000}"/>
    <cellStyle name="Comma 13 2 5" xfId="497" xr:uid="{00000000-0005-0000-0000-000050000000}"/>
    <cellStyle name="Comma 13 3" xfId="356" xr:uid="{00000000-0005-0000-0000-000051000000}"/>
    <cellStyle name="Comma 13 3 2" xfId="451" xr:uid="{00000000-0005-0000-0000-000052000000}"/>
    <cellStyle name="Comma 13 3 3" xfId="509" xr:uid="{00000000-0005-0000-0000-000053000000}"/>
    <cellStyle name="Comma 13 4" xfId="255" xr:uid="{00000000-0005-0000-0000-000054000000}"/>
    <cellStyle name="Comma 13 5" xfId="427" xr:uid="{00000000-0005-0000-0000-000055000000}"/>
    <cellStyle name="Comma 13 6" xfId="485" xr:uid="{00000000-0005-0000-0000-000056000000}"/>
    <cellStyle name="Comma 14" xfId="178" xr:uid="{00000000-0005-0000-0000-000057000000}"/>
    <cellStyle name="Comma 14 2" xfId="218" xr:uid="{00000000-0005-0000-0000-000058000000}"/>
    <cellStyle name="Comma 14 2 2" xfId="392" xr:uid="{00000000-0005-0000-0000-000059000000}"/>
    <cellStyle name="Comma 14 2 2 2" xfId="465" xr:uid="{00000000-0005-0000-0000-00005A000000}"/>
    <cellStyle name="Comma 14 2 2 3" xfId="522" xr:uid="{00000000-0005-0000-0000-00005B000000}"/>
    <cellStyle name="Comma 14 2 3" xfId="296" xr:uid="{00000000-0005-0000-0000-00005C000000}"/>
    <cellStyle name="Comma 14 2 4" xfId="440" xr:uid="{00000000-0005-0000-0000-00005D000000}"/>
    <cellStyle name="Comma 14 2 5" xfId="498" xr:uid="{00000000-0005-0000-0000-00005E000000}"/>
    <cellStyle name="Comma 14 3" xfId="357" xr:uid="{00000000-0005-0000-0000-00005F000000}"/>
    <cellStyle name="Comma 14 3 2" xfId="452" xr:uid="{00000000-0005-0000-0000-000060000000}"/>
    <cellStyle name="Comma 14 3 3" xfId="510" xr:uid="{00000000-0005-0000-0000-000061000000}"/>
    <cellStyle name="Comma 14 4" xfId="256" xr:uid="{00000000-0005-0000-0000-000062000000}"/>
    <cellStyle name="Comma 14 5" xfId="428" xr:uid="{00000000-0005-0000-0000-000063000000}"/>
    <cellStyle name="Comma 14 6" xfId="486" xr:uid="{00000000-0005-0000-0000-000064000000}"/>
    <cellStyle name="Comma 15" xfId="257" xr:uid="{00000000-0005-0000-0000-000065000000}"/>
    <cellStyle name="Comma 15 2" xfId="297" xr:uid="{00000000-0005-0000-0000-000066000000}"/>
    <cellStyle name="Comma 15 2 2" xfId="393" xr:uid="{00000000-0005-0000-0000-000067000000}"/>
    <cellStyle name="Comma 15 2 2 2" xfId="466" xr:uid="{00000000-0005-0000-0000-000068000000}"/>
    <cellStyle name="Comma 15 2 2 3" xfId="523" xr:uid="{00000000-0005-0000-0000-000069000000}"/>
    <cellStyle name="Comma 15 2 3" xfId="441" xr:uid="{00000000-0005-0000-0000-00006A000000}"/>
    <cellStyle name="Comma 15 2 4" xfId="499" xr:uid="{00000000-0005-0000-0000-00006B000000}"/>
    <cellStyle name="Comma 15 3" xfId="358" xr:uid="{00000000-0005-0000-0000-00006C000000}"/>
    <cellStyle name="Comma 15 3 2" xfId="453" xr:uid="{00000000-0005-0000-0000-00006D000000}"/>
    <cellStyle name="Comma 15 3 3" xfId="511" xr:uid="{00000000-0005-0000-0000-00006E000000}"/>
    <cellStyle name="Comma 15 4" xfId="429" xr:uid="{00000000-0005-0000-0000-00006F000000}"/>
    <cellStyle name="Comma 15 5" xfId="487" xr:uid="{00000000-0005-0000-0000-000070000000}"/>
    <cellStyle name="Comma 16" xfId="272" xr:uid="{00000000-0005-0000-0000-000071000000}"/>
    <cellStyle name="Comma 16 2" xfId="368" xr:uid="{00000000-0005-0000-0000-000072000000}"/>
    <cellStyle name="Comma 16 2 2" xfId="457" xr:uid="{00000000-0005-0000-0000-000073000000}"/>
    <cellStyle name="Comma 16 2 3" xfId="515" xr:uid="{00000000-0005-0000-0000-000074000000}"/>
    <cellStyle name="Comma 16 3" xfId="433" xr:uid="{00000000-0005-0000-0000-000075000000}"/>
    <cellStyle name="Comma 16 4" xfId="491" xr:uid="{00000000-0005-0000-0000-000076000000}"/>
    <cellStyle name="Comma 17" xfId="261" xr:uid="{00000000-0005-0000-0000-000077000000}"/>
    <cellStyle name="Comma 17 2" xfId="360" xr:uid="{00000000-0005-0000-0000-000078000000}"/>
    <cellStyle name="Comma 17 2 2" xfId="455" xr:uid="{00000000-0005-0000-0000-000079000000}"/>
    <cellStyle name="Comma 17 2 3" xfId="513" xr:uid="{00000000-0005-0000-0000-00007A000000}"/>
    <cellStyle name="Comma 17 3" xfId="431" xr:uid="{00000000-0005-0000-0000-00007B000000}"/>
    <cellStyle name="Comma 17 4" xfId="489" xr:uid="{00000000-0005-0000-0000-00007C000000}"/>
    <cellStyle name="Comma 18" xfId="300" xr:uid="{00000000-0005-0000-0000-00007D000000}"/>
    <cellStyle name="Comma 18 2" xfId="396" xr:uid="{00000000-0005-0000-0000-00007E000000}"/>
    <cellStyle name="Comma 18 2 2" xfId="469" xr:uid="{00000000-0005-0000-0000-00007F000000}"/>
    <cellStyle name="Comma 18 2 3" xfId="526" xr:uid="{00000000-0005-0000-0000-000080000000}"/>
    <cellStyle name="Comma 18 3" xfId="444" xr:uid="{00000000-0005-0000-0000-000081000000}"/>
    <cellStyle name="Comma 18 4" xfId="502" xr:uid="{00000000-0005-0000-0000-000082000000}"/>
    <cellStyle name="Comma 19" xfId="260" xr:uid="{00000000-0005-0000-0000-000083000000}"/>
    <cellStyle name="Comma 19 2" xfId="359" xr:uid="{00000000-0005-0000-0000-000084000000}"/>
    <cellStyle name="Comma 19 2 2" xfId="454" xr:uid="{00000000-0005-0000-0000-000085000000}"/>
    <cellStyle name="Comma 19 2 3" xfId="512" xr:uid="{00000000-0005-0000-0000-000086000000}"/>
    <cellStyle name="Comma 19 3" xfId="430" xr:uid="{00000000-0005-0000-0000-000087000000}"/>
    <cellStyle name="Comma 19 4" xfId="488" xr:uid="{00000000-0005-0000-0000-000088000000}"/>
    <cellStyle name="Comma 2" xfId="3" xr:uid="{00000000-0005-0000-0000-000089000000}"/>
    <cellStyle name="Comma 2 2" xfId="59" xr:uid="{00000000-0005-0000-0000-00008A000000}"/>
    <cellStyle name="Comma 2 2 2" xfId="14" xr:uid="{00000000-0005-0000-0000-00008B000000}"/>
    <cellStyle name="Comma 2 2 2 2" xfId="33" xr:uid="{00000000-0005-0000-0000-00008C000000}"/>
    <cellStyle name="Comma 2 2 2 2 2" xfId="70" xr:uid="{00000000-0005-0000-0000-00008D000000}"/>
    <cellStyle name="Comma 2 2 2 2 2 2" xfId="373" xr:uid="{00000000-0005-0000-0000-00008E000000}"/>
    <cellStyle name="Comma 2 2 2 2 2 3" xfId="277" xr:uid="{00000000-0005-0000-0000-00008F000000}"/>
    <cellStyle name="Comma 2 2 2 2 2 4" xfId="543" xr:uid="{00000000-0005-0000-0000-000090000000}"/>
    <cellStyle name="Comma 2 2 2 3" xfId="63" xr:uid="{00000000-0005-0000-0000-000091000000}"/>
    <cellStyle name="Comma 2 2 2 3 2" xfId="370" xr:uid="{00000000-0005-0000-0000-000092000000}"/>
    <cellStyle name="Comma 2 2 2 3 3" xfId="274" xr:uid="{00000000-0005-0000-0000-000093000000}"/>
    <cellStyle name="Comma 2 2 2 4" xfId="149" xr:uid="{00000000-0005-0000-0000-000094000000}"/>
    <cellStyle name="Comma 2 2 2 4 2" xfId="330" xr:uid="{00000000-0005-0000-0000-000095000000}"/>
    <cellStyle name="Comma 2 2 3" xfId="19" xr:uid="{00000000-0005-0000-0000-000096000000}"/>
    <cellStyle name="Comma 2 2 3 2" xfId="64" xr:uid="{00000000-0005-0000-0000-000097000000}"/>
    <cellStyle name="Comma 2 2 3 2 2" xfId="386" xr:uid="{00000000-0005-0000-0000-000098000000}"/>
    <cellStyle name="Comma 2 2 3 2 3" xfId="290" xr:uid="{00000000-0005-0000-0000-000099000000}"/>
    <cellStyle name="Comma 2 2 3 3" xfId="345" xr:uid="{00000000-0005-0000-0000-00009A000000}"/>
    <cellStyle name="Comma 2 2 3 4" xfId="245" xr:uid="{00000000-0005-0000-0000-00009B000000}"/>
    <cellStyle name="Comma 2 2 4" xfId="103" xr:uid="{00000000-0005-0000-0000-00009C000000}"/>
    <cellStyle name="Comma 2 2 4 2" xfId="362" xr:uid="{00000000-0005-0000-0000-00009D000000}"/>
    <cellStyle name="Comma 2 2 4 3" xfId="263" xr:uid="{00000000-0005-0000-0000-00009E000000}"/>
    <cellStyle name="Comma 2 2 5" xfId="319" xr:uid="{00000000-0005-0000-0000-00009F000000}"/>
    <cellStyle name="Comma 2 3" xfId="104" xr:uid="{00000000-0005-0000-0000-0000A0000000}"/>
    <cellStyle name="Comma 2 3 2" xfId="25" xr:uid="{00000000-0005-0000-0000-0000A1000000}"/>
    <cellStyle name="Comma 2 3 2 2" xfId="65" xr:uid="{00000000-0005-0000-0000-0000A2000000}"/>
    <cellStyle name="Comma 2 3 2 2 2" xfId="381" xr:uid="{00000000-0005-0000-0000-0000A3000000}"/>
    <cellStyle name="Comma 2 3 2 2 3" xfId="285" xr:uid="{00000000-0005-0000-0000-0000A4000000}"/>
    <cellStyle name="Comma 2 3 2 3" xfId="313" xr:uid="{00000000-0005-0000-0000-0000A5000000}"/>
    <cellStyle name="Comma 2 3 2 3 2" xfId="405" xr:uid="{00000000-0005-0000-0000-0000A6000000}"/>
    <cellStyle name="Comma 2 3 2 4" xfId="338" xr:uid="{00000000-0005-0000-0000-0000A7000000}"/>
    <cellStyle name="Comma 2 3 3" xfId="264" xr:uid="{00000000-0005-0000-0000-0000A8000000}"/>
    <cellStyle name="Comma 2 3 3 2" xfId="363" xr:uid="{00000000-0005-0000-0000-0000A9000000}"/>
    <cellStyle name="Comma 2 3 4" xfId="320" xr:uid="{00000000-0005-0000-0000-0000AA000000}"/>
    <cellStyle name="Comma 2 3 5" xfId="225" xr:uid="{00000000-0005-0000-0000-0000AB000000}"/>
    <cellStyle name="Comma 2 4" xfId="29" xr:uid="{00000000-0005-0000-0000-0000AC000000}"/>
    <cellStyle name="Comma 2 4 2" xfId="67" xr:uid="{00000000-0005-0000-0000-0000AD000000}"/>
    <cellStyle name="Comma 2 4 2 2" xfId="361" xr:uid="{00000000-0005-0000-0000-0000AE000000}"/>
    <cellStyle name="Comma 2 4 3" xfId="262" xr:uid="{00000000-0005-0000-0000-0000AF000000}"/>
    <cellStyle name="Comma 2 5" xfId="102" xr:uid="{00000000-0005-0000-0000-0000B0000000}"/>
    <cellStyle name="Comma 2 5 2" xfId="318" xr:uid="{00000000-0005-0000-0000-0000B1000000}"/>
    <cellStyle name="Comma 2 6" xfId="312" xr:uid="{00000000-0005-0000-0000-0000B2000000}"/>
    <cellStyle name="Comma 2 6 2" xfId="404" xr:uid="{00000000-0005-0000-0000-0000B3000000}"/>
    <cellStyle name="Comma 20" xfId="278" xr:uid="{00000000-0005-0000-0000-0000B4000000}"/>
    <cellStyle name="Comma 20 2" xfId="374" xr:uid="{00000000-0005-0000-0000-0000B5000000}"/>
    <cellStyle name="Comma 20 2 2" xfId="459" xr:uid="{00000000-0005-0000-0000-0000B6000000}"/>
    <cellStyle name="Comma 20 2 3" xfId="516" xr:uid="{00000000-0005-0000-0000-0000B7000000}"/>
    <cellStyle name="Comma 20 3" xfId="434" xr:uid="{00000000-0005-0000-0000-0000B8000000}"/>
    <cellStyle name="Comma 20 4" xfId="492" xr:uid="{00000000-0005-0000-0000-0000B9000000}"/>
    <cellStyle name="Comma 21" xfId="298" xr:uid="{00000000-0005-0000-0000-0000BA000000}"/>
    <cellStyle name="Comma 21 2" xfId="394" xr:uid="{00000000-0005-0000-0000-0000BB000000}"/>
    <cellStyle name="Comma 21 2 2" xfId="467" xr:uid="{00000000-0005-0000-0000-0000BC000000}"/>
    <cellStyle name="Comma 21 2 3" xfId="524" xr:uid="{00000000-0005-0000-0000-0000BD000000}"/>
    <cellStyle name="Comma 21 3" xfId="442" xr:uid="{00000000-0005-0000-0000-0000BE000000}"/>
    <cellStyle name="Comma 21 4" xfId="500" xr:uid="{00000000-0005-0000-0000-0000BF000000}"/>
    <cellStyle name="Comma 22" xfId="301" xr:uid="{00000000-0005-0000-0000-0000C0000000}"/>
    <cellStyle name="Comma 22 2" xfId="397" xr:uid="{00000000-0005-0000-0000-0000C1000000}"/>
    <cellStyle name="Comma 22 2 2" xfId="470" xr:uid="{00000000-0005-0000-0000-0000C2000000}"/>
    <cellStyle name="Comma 22 2 3" xfId="527" xr:uid="{00000000-0005-0000-0000-0000C3000000}"/>
    <cellStyle name="Comma 22 3" xfId="445" xr:uid="{00000000-0005-0000-0000-0000C4000000}"/>
    <cellStyle name="Comma 22 4" xfId="503" xr:uid="{00000000-0005-0000-0000-0000C5000000}"/>
    <cellStyle name="Comma 23" xfId="268" xr:uid="{00000000-0005-0000-0000-0000C6000000}"/>
    <cellStyle name="Comma 23 2" xfId="364" xr:uid="{00000000-0005-0000-0000-0000C7000000}"/>
    <cellStyle name="Comma 23 2 2" xfId="456" xr:uid="{00000000-0005-0000-0000-0000C8000000}"/>
    <cellStyle name="Comma 23 2 3" xfId="514" xr:uid="{00000000-0005-0000-0000-0000C9000000}"/>
    <cellStyle name="Comma 23 3" xfId="432" xr:uid="{00000000-0005-0000-0000-0000CA000000}"/>
    <cellStyle name="Comma 23 4" xfId="490" xr:uid="{00000000-0005-0000-0000-0000CB000000}"/>
    <cellStyle name="Comma 24" xfId="299" xr:uid="{00000000-0005-0000-0000-0000CC000000}"/>
    <cellStyle name="Comma 24 2" xfId="395" xr:uid="{00000000-0005-0000-0000-0000CD000000}"/>
    <cellStyle name="Comma 24 2 2" xfId="468" xr:uid="{00000000-0005-0000-0000-0000CE000000}"/>
    <cellStyle name="Comma 24 2 3" xfId="525" xr:uid="{00000000-0005-0000-0000-0000CF000000}"/>
    <cellStyle name="Comma 24 3" xfId="443" xr:uid="{00000000-0005-0000-0000-0000D0000000}"/>
    <cellStyle name="Comma 24 4" xfId="501" xr:uid="{00000000-0005-0000-0000-0000D1000000}"/>
    <cellStyle name="Comma 25" xfId="303" xr:uid="{00000000-0005-0000-0000-0000D2000000}"/>
    <cellStyle name="Comma 25 2" xfId="398" xr:uid="{00000000-0005-0000-0000-0000D3000000}"/>
    <cellStyle name="Comma 26" xfId="305" xr:uid="{00000000-0005-0000-0000-0000D4000000}"/>
    <cellStyle name="Comma 26 2" xfId="399" xr:uid="{00000000-0005-0000-0000-0000D5000000}"/>
    <cellStyle name="Comma 27" xfId="307" xr:uid="{00000000-0005-0000-0000-0000D6000000}"/>
    <cellStyle name="Comma 27 2" xfId="400" xr:uid="{00000000-0005-0000-0000-0000D7000000}"/>
    <cellStyle name="Comma 28" xfId="309" xr:uid="{00000000-0005-0000-0000-0000D8000000}"/>
    <cellStyle name="Comma 28 2" xfId="401" xr:uid="{00000000-0005-0000-0000-0000D9000000}"/>
    <cellStyle name="Comma 29" xfId="311" xr:uid="{00000000-0005-0000-0000-0000DA000000}"/>
    <cellStyle name="Comma 29 2" xfId="402" xr:uid="{00000000-0005-0000-0000-0000DB000000}"/>
    <cellStyle name="Comma 3" xfId="12" xr:uid="{00000000-0005-0000-0000-0000DC000000}"/>
    <cellStyle name="Comma 3 2" xfId="4" xr:uid="{00000000-0005-0000-0000-0000DD000000}"/>
    <cellStyle name="Comma 3 2 2" xfId="18" xr:uid="{00000000-0005-0000-0000-0000DE000000}"/>
    <cellStyle name="Comma 3 2 2 2" xfId="550" xr:uid="{00000000-0005-0000-0000-0000DF000000}"/>
    <cellStyle name="Comma 3 2 3" xfId="28" xr:uid="{00000000-0005-0000-0000-0000E0000000}"/>
    <cellStyle name="Comma 3 2 3 2" xfId="46" xr:uid="{00000000-0005-0000-0000-0000E1000000}"/>
    <cellStyle name="Comma 3 2 3 2 2" xfId="75" xr:uid="{00000000-0005-0000-0000-0000E2000000}"/>
    <cellStyle name="Comma 3 2 3 2 2 2" xfId="387" xr:uid="{00000000-0005-0000-0000-0000E3000000}"/>
    <cellStyle name="Comma 3 2 3 2 2 3" xfId="291" xr:uid="{00000000-0005-0000-0000-0000E4000000}"/>
    <cellStyle name="Comma 3 2 3 2 3" xfId="349" xr:uid="{00000000-0005-0000-0000-0000E5000000}"/>
    <cellStyle name="Comma 3 2 3 2 4" xfId="248" xr:uid="{00000000-0005-0000-0000-0000E6000000}"/>
    <cellStyle name="Comma 3 2 3 3" xfId="66" xr:uid="{00000000-0005-0000-0000-0000E7000000}"/>
    <cellStyle name="Comma 3 2 3 3 2" xfId="383" xr:uid="{00000000-0005-0000-0000-0000E8000000}"/>
    <cellStyle name="Comma 3 2 3 3 3" xfId="287" xr:uid="{00000000-0005-0000-0000-0000E9000000}"/>
    <cellStyle name="Comma 3 2 3 4" xfId="167" xr:uid="{00000000-0005-0000-0000-0000EA000000}"/>
    <cellStyle name="Comma 3 2 3 4 2" xfId="342" xr:uid="{00000000-0005-0000-0000-0000EB000000}"/>
    <cellStyle name="Comma 3 2 3 5" xfId="241" xr:uid="{00000000-0005-0000-0000-0000EC000000}"/>
    <cellStyle name="Comma 3 2 4" xfId="60" xr:uid="{00000000-0005-0000-0000-0000ED000000}"/>
    <cellStyle name="Comma 3 2 4 2" xfId="172" xr:uid="{00000000-0005-0000-0000-0000EE000000}"/>
    <cellStyle name="Comma 3 2 4 2 2" xfId="369" xr:uid="{00000000-0005-0000-0000-0000EF000000}"/>
    <cellStyle name="Comma 3 2 4 3" xfId="273" xr:uid="{00000000-0005-0000-0000-0000F0000000}"/>
    <cellStyle name="Comma 3 2 5" xfId="148" xr:uid="{00000000-0005-0000-0000-0000F1000000}"/>
    <cellStyle name="Comma 3 2 5 2" xfId="329" xr:uid="{00000000-0005-0000-0000-0000F2000000}"/>
    <cellStyle name="Comma 3 2 6" xfId="231" xr:uid="{00000000-0005-0000-0000-0000F3000000}"/>
    <cellStyle name="Comma 3 3" xfId="47" xr:uid="{00000000-0005-0000-0000-0000F4000000}"/>
    <cellStyle name="Comma 3 3 2" xfId="166" xr:uid="{00000000-0005-0000-0000-0000F5000000}"/>
    <cellStyle name="Comma 3 3 3" xfId="195" xr:uid="{00000000-0005-0000-0000-0000F6000000}"/>
    <cellStyle name="Comma 3 3 3 3" xfId="539" xr:uid="{00000000-0005-0000-0000-0000F7000000}"/>
    <cellStyle name="Comma 3 3 3 3 2" xfId="548" xr:uid="{00000000-0005-0000-0000-0000F8000000}"/>
    <cellStyle name="Comma 3 3 3 3 3" xfId="556" xr:uid="{00000000-0005-0000-0000-0000F9000000}"/>
    <cellStyle name="Comma 3 3 4" xfId="265" xr:uid="{00000000-0005-0000-0000-0000FA000000}"/>
    <cellStyle name="Comma 3 4" xfId="30" xr:uid="{00000000-0005-0000-0000-0000FB000000}"/>
    <cellStyle name="Comma 3 4 2" xfId="68" xr:uid="{00000000-0005-0000-0000-0000FC000000}"/>
    <cellStyle name="Comma 3 4 2 2" xfId="376" xr:uid="{00000000-0005-0000-0000-0000FD000000}"/>
    <cellStyle name="Comma 3 4 2 3" xfId="280" xr:uid="{00000000-0005-0000-0000-0000FE000000}"/>
    <cellStyle name="Comma 3 4 3" xfId="153" xr:uid="{00000000-0005-0000-0000-0000FF000000}"/>
    <cellStyle name="Comma 3 4 3 2" xfId="407" xr:uid="{00000000-0005-0000-0000-000000010000}"/>
    <cellStyle name="Comma 3 4 3 3" xfId="315" xr:uid="{00000000-0005-0000-0000-000001010000}"/>
    <cellStyle name="Comma 3 4 4" xfId="335" xr:uid="{00000000-0005-0000-0000-000002010000}"/>
    <cellStyle name="Comma 3 4 5" xfId="233" xr:uid="{00000000-0005-0000-0000-000003010000}"/>
    <cellStyle name="Comma 3 41" xfId="36" xr:uid="{00000000-0005-0000-0000-000004010000}"/>
    <cellStyle name="Comma 3 5" xfId="62" xr:uid="{00000000-0005-0000-0000-000005010000}"/>
    <cellStyle name="Comma 3 5 2" xfId="207" xr:uid="{00000000-0005-0000-0000-000006010000}"/>
    <cellStyle name="Comma 3 6" xfId="183" xr:uid="{00000000-0005-0000-0000-000007010000}"/>
    <cellStyle name="Comma 3 7" xfId="538" xr:uid="{00000000-0005-0000-0000-000008010000}"/>
    <cellStyle name="Comma 3 8" xfId="545" xr:uid="{00000000-0005-0000-0000-000009010000}"/>
    <cellStyle name="Comma 3 9" xfId="553" xr:uid="{00000000-0005-0000-0000-00000A010000}"/>
    <cellStyle name="Comma 30" xfId="327" xr:uid="{00000000-0005-0000-0000-00000B010000}"/>
    <cellStyle name="Comma 30 2" xfId="448" xr:uid="{00000000-0005-0000-0000-00000C010000}"/>
    <cellStyle name="Comma 30 3" xfId="506" xr:uid="{00000000-0005-0000-0000-00000D010000}"/>
    <cellStyle name="Comma 30 4" xfId="555" xr:uid="{00000000-0005-0000-0000-00000E010000}"/>
    <cellStyle name="Comma 31" xfId="321" xr:uid="{00000000-0005-0000-0000-00000F010000}"/>
    <cellStyle name="Comma 31 2" xfId="447" xr:uid="{00000000-0005-0000-0000-000010010000}"/>
    <cellStyle name="Comma 31 3" xfId="505" xr:uid="{00000000-0005-0000-0000-000011010000}"/>
    <cellStyle name="Comma 32" xfId="317" xr:uid="{00000000-0005-0000-0000-000012010000}"/>
    <cellStyle name="Comma 32 2" xfId="446" xr:uid="{00000000-0005-0000-0000-000013010000}"/>
    <cellStyle name="Comma 32 3" xfId="504" xr:uid="{00000000-0005-0000-0000-000014010000}"/>
    <cellStyle name="Comma 33" xfId="411" xr:uid="{00000000-0005-0000-0000-000015010000}"/>
    <cellStyle name="Comma 33 2" xfId="473" xr:uid="{00000000-0005-0000-0000-000016010000}"/>
    <cellStyle name="Comma 33 3" xfId="529" xr:uid="{00000000-0005-0000-0000-000017010000}"/>
    <cellStyle name="Comma 34" xfId="409" xr:uid="{00000000-0005-0000-0000-000018010000}"/>
    <cellStyle name="Comma 34 2" xfId="472" xr:uid="{00000000-0005-0000-0000-000019010000}"/>
    <cellStyle name="Comma 34 3" xfId="528" xr:uid="{00000000-0005-0000-0000-00001A010000}"/>
    <cellStyle name="Comma 35" xfId="230" xr:uid="{00000000-0005-0000-0000-00001B010000}"/>
    <cellStyle name="Comma 36" xfId="224" xr:uid="{00000000-0005-0000-0000-00001C010000}"/>
    <cellStyle name="Comma 37" xfId="416" xr:uid="{00000000-0005-0000-0000-00001D010000}"/>
    <cellStyle name="Comma 38" xfId="471" xr:uid="{00000000-0005-0000-0000-00001E010000}"/>
    <cellStyle name="Comma 39" xfId="475" xr:uid="{00000000-0005-0000-0000-00001F010000}"/>
    <cellStyle name="Comma 4" xfId="39" xr:uid="{00000000-0005-0000-0000-000020010000}"/>
    <cellStyle name="Comma 4 2" xfId="53" xr:uid="{00000000-0005-0000-0000-000021010000}"/>
    <cellStyle name="Comma 4 2 2" xfId="201" xr:uid="{00000000-0005-0000-0000-000022010000}"/>
    <cellStyle name="Comma 4 2 3" xfId="266" xr:uid="{00000000-0005-0000-0000-000023010000}"/>
    <cellStyle name="Comma 4 3" xfId="72" xr:uid="{00000000-0005-0000-0000-000024010000}"/>
    <cellStyle name="Comma 4 3 2" xfId="209" xr:uid="{00000000-0005-0000-0000-000025010000}"/>
    <cellStyle name="Comma 4 4" xfId="105" xr:uid="{00000000-0005-0000-0000-000026010000}"/>
    <cellStyle name="Comma 4 5" xfId="189" xr:uid="{00000000-0005-0000-0000-000027010000}"/>
    <cellStyle name="Comma 40" xfId="531" xr:uid="{00000000-0005-0000-0000-000028010000}"/>
    <cellStyle name="Comma 41" xfId="533" xr:uid="{00000000-0005-0000-0000-000029010000}"/>
    <cellStyle name="Comma 42" xfId="532" xr:uid="{00000000-0005-0000-0000-00002A010000}"/>
    <cellStyle name="Comma 43" xfId="535" xr:uid="{00000000-0005-0000-0000-00002B010000}"/>
    <cellStyle name="Comma 44" xfId="536" xr:uid="{00000000-0005-0000-0000-00002C010000}"/>
    <cellStyle name="Comma 45" xfId="537" xr:uid="{00000000-0005-0000-0000-00002D010000}"/>
    <cellStyle name="Comma 46" xfId="547" xr:uid="{00000000-0005-0000-0000-00002E010000}"/>
    <cellStyle name="Comma 47" xfId="552" xr:uid="{00000000-0005-0000-0000-00002F010000}"/>
    <cellStyle name="Comma 48" xfId="38" xr:uid="{00000000-0005-0000-0000-00004E000000}"/>
    <cellStyle name="Comma 5" xfId="42" xr:uid="{00000000-0005-0000-0000-000030010000}"/>
    <cellStyle name="Comma 5 2" xfId="56" xr:uid="{00000000-0005-0000-0000-000031010000}"/>
    <cellStyle name="Comma 5 2 2" xfId="176" xr:uid="{00000000-0005-0000-0000-000032010000}"/>
    <cellStyle name="Comma 5 2 2 2" xfId="388" xr:uid="{00000000-0005-0000-0000-000033010000}"/>
    <cellStyle name="Comma 5 2 2 3" xfId="292" xr:uid="{00000000-0005-0000-0000-000034010000}"/>
    <cellStyle name="Comma 5 2 3" xfId="204" xr:uid="{00000000-0005-0000-0000-000035010000}"/>
    <cellStyle name="Comma 5 2 3 2" xfId="353" xr:uid="{00000000-0005-0000-0000-000036010000}"/>
    <cellStyle name="Comma 5 2 3 3" xfId="542" xr:uid="{00000000-0005-0000-0000-000037010000}"/>
    <cellStyle name="Comma 5 2 4" xfId="252" xr:uid="{00000000-0005-0000-0000-000038010000}"/>
    <cellStyle name="Comma 5 3" xfId="73" xr:uid="{00000000-0005-0000-0000-000039010000}"/>
    <cellStyle name="Comma 5 3 2" xfId="210" xr:uid="{00000000-0005-0000-0000-00003A010000}"/>
    <cellStyle name="Comma 5 3 2 2" xfId="377" xr:uid="{00000000-0005-0000-0000-00003B010000}"/>
    <cellStyle name="Comma 5 3 3" xfId="281" xr:uid="{00000000-0005-0000-0000-00003C010000}"/>
    <cellStyle name="Comma 5 4" xfId="163" xr:uid="{00000000-0005-0000-0000-00003D010000}"/>
    <cellStyle name="Comma 5 4 2" xfId="217" xr:uid="{00000000-0005-0000-0000-00003E010000}"/>
    <cellStyle name="Comma 5 4 3" xfId="336" xr:uid="{00000000-0005-0000-0000-00003F010000}"/>
    <cellStyle name="Comma 5 5" xfId="154" xr:uid="{00000000-0005-0000-0000-000040010000}"/>
    <cellStyle name="Comma 5 6" xfId="192" xr:uid="{00000000-0005-0000-0000-000041010000}"/>
    <cellStyle name="Comma 5 7" xfId="235" xr:uid="{00000000-0005-0000-0000-000042010000}"/>
    <cellStyle name="Comma 6" xfId="32" xr:uid="{00000000-0005-0000-0000-000043010000}"/>
    <cellStyle name="Comma 6 2" xfId="69" xr:uid="{00000000-0005-0000-0000-000044010000}"/>
    <cellStyle name="Comma 6 2 2" xfId="175" xr:uid="{00000000-0005-0000-0000-000045010000}"/>
    <cellStyle name="Comma 6 2 2 2" xfId="378" xr:uid="{00000000-0005-0000-0000-000046010000}"/>
    <cellStyle name="Comma 6 2 3" xfId="282" xr:uid="{00000000-0005-0000-0000-000047010000}"/>
    <cellStyle name="Comma 6 3" xfId="156" xr:uid="{00000000-0005-0000-0000-000048010000}"/>
    <cellStyle name="Comma 6 3 2" xfId="337" xr:uid="{00000000-0005-0000-0000-000049010000}"/>
    <cellStyle name="Comma 6 4" xfId="236" xr:uid="{00000000-0005-0000-0000-00004A010000}"/>
    <cellStyle name="Comma 7" xfId="151" xr:uid="{00000000-0005-0000-0000-00004B010000}"/>
    <cellStyle name="Comma 7 2" xfId="10" xr:uid="{00000000-0005-0000-0000-00004C010000}"/>
    <cellStyle name="Comma 7 2 2" xfId="61" xr:uid="{00000000-0005-0000-0000-00004D010000}"/>
    <cellStyle name="Comma 7 2 2 2" xfId="158" xr:uid="{00000000-0005-0000-0000-00004E010000}"/>
    <cellStyle name="Comma 7 2 2 2 2" xfId="215" xr:uid="{00000000-0005-0000-0000-00004F010000}"/>
    <cellStyle name="Comma 7 2 2 2 2 2" xfId="380" xr:uid="{00000000-0005-0000-0000-000050010000}"/>
    <cellStyle name="Comma 7 2 2 2 2 3" xfId="461" xr:uid="{00000000-0005-0000-0000-000051010000}"/>
    <cellStyle name="Comma 7 2 2 2 2 4" xfId="518" xr:uid="{00000000-0005-0000-0000-000052010000}"/>
    <cellStyle name="Comma 7 2 2 2 3" xfId="284" xr:uid="{00000000-0005-0000-0000-000053010000}"/>
    <cellStyle name="Comma 7 2 2 2 4" xfId="436" xr:uid="{00000000-0005-0000-0000-000054010000}"/>
    <cellStyle name="Comma 7 2 2 2 5" xfId="494" xr:uid="{00000000-0005-0000-0000-000055010000}"/>
    <cellStyle name="Comma 7 2 2 3" xfId="239" xr:uid="{00000000-0005-0000-0000-000056010000}"/>
    <cellStyle name="Comma 7 2 2 4" xfId="421" xr:uid="{00000000-0005-0000-0000-000057010000}"/>
    <cellStyle name="Comma 7 2 2 5" xfId="479" xr:uid="{00000000-0005-0000-0000-000058010000}"/>
    <cellStyle name="Comma 7 2 3" xfId="160" xr:uid="{00000000-0005-0000-0000-000059010000}"/>
    <cellStyle name="Comma 7 2 3 2" xfId="382" xr:uid="{00000000-0005-0000-0000-00005A010000}"/>
    <cellStyle name="Comma 7 2 3 3" xfId="286" xr:uid="{00000000-0005-0000-0000-00005B010000}"/>
    <cellStyle name="Comma 7 2 4" xfId="340" xr:uid="{00000000-0005-0000-0000-00005C010000}"/>
    <cellStyle name="Comma 7 2 5" xfId="240" xr:uid="{00000000-0005-0000-0000-00005D010000}"/>
    <cellStyle name="Comma 7 3" xfId="276" xr:uid="{00000000-0005-0000-0000-00005E010000}"/>
    <cellStyle name="Comma 7 3 2" xfId="372" xr:uid="{00000000-0005-0000-0000-00005F010000}"/>
    <cellStyle name="Comma 7 4" xfId="332" xr:uid="{00000000-0005-0000-0000-000060010000}"/>
    <cellStyle name="Comma 7 5" xfId="232" xr:uid="{00000000-0005-0000-0000-000061010000}"/>
    <cellStyle name="Comma 8" xfId="164" xr:uid="{00000000-0005-0000-0000-000062010000}"/>
    <cellStyle name="Comma 8 2" xfId="173" xr:uid="{00000000-0005-0000-0000-000063010000}"/>
    <cellStyle name="Comma 8 2 2" xfId="389" xr:uid="{00000000-0005-0000-0000-000064010000}"/>
    <cellStyle name="Comma 8 2 2 2" xfId="462" xr:uid="{00000000-0005-0000-0000-000065010000}"/>
    <cellStyle name="Comma 8 2 2 3" xfId="519" xr:uid="{00000000-0005-0000-0000-000066010000}"/>
    <cellStyle name="Comma 8 2 3" xfId="293" xr:uid="{00000000-0005-0000-0000-000067010000}"/>
    <cellStyle name="Comma 8 2 4" xfId="437" xr:uid="{00000000-0005-0000-0000-000068010000}"/>
    <cellStyle name="Comma 8 2 5" xfId="495" xr:uid="{00000000-0005-0000-0000-000069010000}"/>
    <cellStyle name="Comma 8 3" xfId="354" xr:uid="{00000000-0005-0000-0000-00006A010000}"/>
    <cellStyle name="Comma 8 3 2" xfId="449" xr:uid="{00000000-0005-0000-0000-00006B010000}"/>
    <cellStyle name="Comma 8 3 3" xfId="507" xr:uid="{00000000-0005-0000-0000-00006C010000}"/>
    <cellStyle name="Comma 8 4" xfId="253" xr:uid="{00000000-0005-0000-0000-00006D010000}"/>
    <cellStyle name="Comma 8 5" xfId="425" xr:uid="{00000000-0005-0000-0000-00006E010000}"/>
    <cellStyle name="Comma 8 6" xfId="483" xr:uid="{00000000-0005-0000-0000-00006F010000}"/>
    <cellStyle name="Comma 9" xfId="180" xr:uid="{00000000-0005-0000-0000-000070010000}"/>
    <cellStyle name="Comma 9 2" xfId="220" xr:uid="{00000000-0005-0000-0000-000071010000}"/>
    <cellStyle name="Comma 9 2 2" xfId="384" xr:uid="{00000000-0005-0000-0000-000072010000}"/>
    <cellStyle name="Comma 9 2 3" xfId="288" xr:uid="{00000000-0005-0000-0000-000073010000}"/>
    <cellStyle name="Comma 9 3" xfId="314" xr:uid="{00000000-0005-0000-0000-000074010000}"/>
    <cellStyle name="Comma 9 3 2" xfId="406" xr:uid="{00000000-0005-0000-0000-000075010000}"/>
    <cellStyle name="Comma 9 4" xfId="343" xr:uid="{00000000-0005-0000-0000-000076010000}"/>
    <cellStyle name="Comma 9 5" xfId="242" xr:uid="{00000000-0005-0000-0000-000077010000}"/>
    <cellStyle name="company_title" xfId="106" xr:uid="{00000000-0005-0000-0000-000079010000}"/>
    <cellStyle name="Currency [00]" xfId="107" xr:uid="{00000000-0005-0000-0000-00007B010000}"/>
    <cellStyle name="Currency 2" xfId="250" xr:uid="{00000000-0005-0000-0000-00007C010000}"/>
    <cellStyle name="Currency 2 2" xfId="424" xr:uid="{00000000-0005-0000-0000-00007D010000}"/>
    <cellStyle name="Currency 2 3" xfId="482" xr:uid="{00000000-0005-0000-0000-00007E010000}"/>
    <cellStyle name="Currency 3" xfId="247" xr:uid="{00000000-0005-0000-0000-00007F010000}"/>
    <cellStyle name="Currency 4" xfId="413" xr:uid="{00000000-0005-0000-0000-000080010000}"/>
    <cellStyle name="Currency 5" xfId="423" xr:uid="{00000000-0005-0000-0000-000081010000}"/>
    <cellStyle name="Currency 6" xfId="417" xr:uid="{00000000-0005-0000-0000-000082010000}"/>
    <cellStyle name="Currency 7" xfId="481" xr:uid="{00000000-0005-0000-0000-000083010000}"/>
    <cellStyle name="Currency 8" xfId="549" xr:uid="{00000000-0005-0000-0000-0000A9010000}"/>
    <cellStyle name="Date Short" xfId="108" xr:uid="{00000000-0005-0000-0000-000084010000}"/>
    <cellStyle name="date_format" xfId="109" xr:uid="{00000000-0005-0000-0000-000085010000}"/>
    <cellStyle name="Enter Currency (0)" xfId="110" xr:uid="{00000000-0005-0000-0000-000086010000}"/>
    <cellStyle name="Enter Currency (2)" xfId="111" xr:uid="{00000000-0005-0000-0000-000087010000}"/>
    <cellStyle name="Enter Units (0)" xfId="112" xr:uid="{00000000-0005-0000-0000-000088010000}"/>
    <cellStyle name="Enter Units (1)" xfId="113" xr:uid="{00000000-0005-0000-0000-000089010000}"/>
    <cellStyle name="Enter Units (2)" xfId="114" xr:uid="{00000000-0005-0000-0000-00008A010000}"/>
    <cellStyle name="Grey" xfId="115" xr:uid="{00000000-0005-0000-0000-00008B010000}"/>
    <cellStyle name="Header1" xfId="116" xr:uid="{00000000-0005-0000-0000-00008C010000}"/>
    <cellStyle name="Header2" xfId="117" xr:uid="{00000000-0005-0000-0000-00008D010000}"/>
    <cellStyle name="Hyperlink" xfId="558" builtinId="8"/>
    <cellStyle name="Hyperlink 2" xfId="31" xr:uid="{00000000-0005-0000-0000-00008F010000}"/>
    <cellStyle name="Hyperlink 2 2" xfId="171" xr:uid="{00000000-0005-0000-0000-000090010000}"/>
    <cellStyle name="Input [yellow]" xfId="118" xr:uid="{00000000-0005-0000-0000-000091010000}"/>
    <cellStyle name="Link Currency (0)" xfId="119" xr:uid="{00000000-0005-0000-0000-000092010000}"/>
    <cellStyle name="Link Currency (2)" xfId="120" xr:uid="{00000000-0005-0000-0000-000093010000}"/>
    <cellStyle name="Link Units (0)" xfId="121" xr:uid="{00000000-0005-0000-0000-000094010000}"/>
    <cellStyle name="Link Units (1)" xfId="122" xr:uid="{00000000-0005-0000-0000-000095010000}"/>
    <cellStyle name="Link Units (2)" xfId="123" xr:uid="{00000000-0005-0000-0000-000096010000}"/>
    <cellStyle name="no dec" xfId="124" xr:uid="{00000000-0005-0000-0000-000097010000}"/>
    <cellStyle name="Normal" xfId="0" builtinId="0"/>
    <cellStyle name="Normal - Style1" xfId="125" xr:uid="{00000000-0005-0000-0000-000099010000}"/>
    <cellStyle name="Normal 10" xfId="13" xr:uid="{00000000-0005-0000-0000-00009A010000}"/>
    <cellStyle name="Normal 10 2" xfId="304" xr:uid="{00000000-0005-0000-0000-00009B010000}"/>
    <cellStyle name="Normal 10 3" xfId="540" xr:uid="{00000000-0005-0000-0000-00009C010000}"/>
    <cellStyle name="Normal 11" xfId="43" xr:uid="{00000000-0005-0000-0000-00009D010000}"/>
    <cellStyle name="Normal 11 2" xfId="57" xr:uid="{00000000-0005-0000-0000-00009E010000}"/>
    <cellStyle name="Normal 11 2 2" xfId="205" xr:uid="{00000000-0005-0000-0000-00009F010000}"/>
    <cellStyle name="Normal 11 3" xfId="169" xr:uid="{00000000-0005-0000-0000-0000A0010000}"/>
    <cellStyle name="Normal 11 4" xfId="193" xr:uid="{00000000-0005-0000-0000-0000A1010000}"/>
    <cellStyle name="Normal 11 5" xfId="541" xr:uid="{00000000-0005-0000-0000-0000A2010000}"/>
    <cellStyle name="Normal 12" xfId="150" xr:uid="{00000000-0005-0000-0000-0000A3010000}"/>
    <cellStyle name="Normal 12 2" xfId="212" xr:uid="{00000000-0005-0000-0000-0000A4010000}"/>
    <cellStyle name="Normal 12 3" xfId="306" xr:uid="{00000000-0005-0000-0000-0000A5010000}"/>
    <cellStyle name="Normal 13" xfId="179" xr:uid="{00000000-0005-0000-0000-0000A6010000}"/>
    <cellStyle name="Normal 13 2" xfId="219" xr:uid="{00000000-0005-0000-0000-0000A7010000}"/>
    <cellStyle name="Normal 13 3" xfId="308" xr:uid="{00000000-0005-0000-0000-0000A8010000}"/>
    <cellStyle name="Normal 14" xfId="181" xr:uid="{00000000-0005-0000-0000-0000A9010000}"/>
    <cellStyle name="Normal 14 2" xfId="221" xr:uid="{00000000-0005-0000-0000-0000AA010000}"/>
    <cellStyle name="Normal 14 3" xfId="310" xr:uid="{00000000-0005-0000-0000-0000AB010000}"/>
    <cellStyle name="Normal 15" xfId="159" xr:uid="{00000000-0005-0000-0000-0000AC010000}"/>
    <cellStyle name="Normal 15 2" xfId="216" xr:uid="{00000000-0005-0000-0000-0000AD010000}"/>
    <cellStyle name="Normal 15 2 2" xfId="408" xr:uid="{00000000-0005-0000-0000-0000AE010000}"/>
    <cellStyle name="Normal 15 3" xfId="316" xr:uid="{00000000-0005-0000-0000-0000AF010000}"/>
    <cellStyle name="Normal 16" xfId="223" xr:uid="{00000000-0005-0000-0000-0000B0010000}"/>
    <cellStyle name="Normal 17" xfId="229" xr:uid="{00000000-0005-0000-0000-0000B1010000}"/>
    <cellStyle name="Normal 18" xfId="414" xr:uid="{00000000-0005-0000-0000-0000B2010000}"/>
    <cellStyle name="Normal 19" xfId="415" xr:uid="{00000000-0005-0000-0000-0000B3010000}"/>
    <cellStyle name="Normal 2" xfId="15" xr:uid="{00000000-0005-0000-0000-0000B4010000}"/>
    <cellStyle name="Normal 2 2" xfId="6" xr:uid="{00000000-0005-0000-0000-0000B5010000}"/>
    <cellStyle name="Normal 2 3" xfId="17" xr:uid="{00000000-0005-0000-0000-0000B6010000}"/>
    <cellStyle name="Normal 2 3 2" xfId="9" xr:uid="{00000000-0005-0000-0000-0000B7010000}"/>
    <cellStyle name="Normal 2 3 2 2" xfId="251" xr:uid="{00000000-0005-0000-0000-0000B8010000}"/>
    <cellStyle name="Normal 2 3 2 2 2" xfId="352" xr:uid="{00000000-0005-0000-0000-0000B9010000}"/>
    <cellStyle name="Normal 2 3 2 3" xfId="339" xr:uid="{00000000-0005-0000-0000-0000BA010000}"/>
    <cellStyle name="Normal 2 4" xfId="48" xr:uid="{00000000-0005-0000-0000-0000BB010000}"/>
    <cellStyle name="Normal 2 4 2" xfId="16" xr:uid="{00000000-0005-0000-0000-0000BC010000}"/>
    <cellStyle name="Normal 2 4 2 2" xfId="21" xr:uid="{00000000-0005-0000-0000-0000BD010000}"/>
    <cellStyle name="Normal 2 4 3" xfId="196" xr:uid="{00000000-0005-0000-0000-0000BE010000}"/>
    <cellStyle name="Normal 2 5" xfId="184" xr:uid="{00000000-0005-0000-0000-0000BF010000}"/>
    <cellStyle name="Normal 2 6" xfId="554" xr:uid="{00000000-0005-0000-0000-0000C0010000}"/>
    <cellStyle name="Normal 20" xfId="35" xr:uid="{00000000-0005-0000-0000-0000C1010000}"/>
    <cellStyle name="Normal 20 2" xfId="51" xr:uid="{00000000-0005-0000-0000-0000C2010000}"/>
    <cellStyle name="Normal 20 2 2" xfId="199" xr:uid="{00000000-0005-0000-0000-0000C3010000}"/>
    <cellStyle name="Normal 20 3" xfId="187" xr:uid="{00000000-0005-0000-0000-0000C4010000}"/>
    <cellStyle name="Normal 21" xfId="474" xr:uid="{00000000-0005-0000-0000-0000C5010000}"/>
    <cellStyle name="Normal 22" xfId="530" xr:uid="{00000000-0005-0000-0000-0000C6010000}"/>
    <cellStyle name="Normal 23" xfId="546" xr:uid="{00000000-0005-0000-0000-0000C7010000}"/>
    <cellStyle name="Normal 24" xfId="551" xr:uid="{00000000-0005-0000-0000-0000C8010000}"/>
    <cellStyle name="Normal 25" xfId="1" xr:uid="{00000000-0005-0000-0000-0000C7010000}"/>
    <cellStyle name="Normal 26" xfId="560" xr:uid="{B1C0EEEF-848E-40AB-BA4B-AE42C4516496}"/>
    <cellStyle name="Normal 3" xfId="37" xr:uid="{00000000-0005-0000-0000-0000C9010000}"/>
    <cellStyle name="Normal 3 2" xfId="52" xr:uid="{00000000-0005-0000-0000-0000CA010000}"/>
    <cellStyle name="Normal 3 2 2" xfId="200" xr:uid="{00000000-0005-0000-0000-0000CB010000}"/>
    <cellStyle name="Normal 3 2 3" xfId="267" xr:uid="{00000000-0005-0000-0000-0000CC010000}"/>
    <cellStyle name="Normal 3 3" xfId="126" xr:uid="{00000000-0005-0000-0000-0000CD010000}"/>
    <cellStyle name="Normal 3 4" xfId="188" xr:uid="{00000000-0005-0000-0000-0000CE010000}"/>
    <cellStyle name="Normal 3 5" xfId="534" xr:uid="{00000000-0005-0000-0000-0000CF010000}"/>
    <cellStyle name="Normal 4" xfId="2" xr:uid="{00000000-0005-0000-0000-0000D0010000}"/>
    <cellStyle name="Normal 4 2" xfId="5" xr:uid="{00000000-0005-0000-0000-0000D1010000}"/>
    <cellStyle name="Normal 4 3" xfId="165" xr:uid="{00000000-0005-0000-0000-0000D2010000}"/>
    <cellStyle name="Normal 4 3 2" xfId="27" xr:uid="{00000000-0005-0000-0000-0000D3010000}"/>
    <cellStyle name="Normal 4 3 2 2" xfId="333" xr:uid="{00000000-0005-0000-0000-0000D4010000}"/>
    <cellStyle name="Normal 4 3 2 2 2" xfId="45" xr:uid="{00000000-0005-0000-0000-0000D5010000}"/>
    <cellStyle name="Normal 4 3 2 2 2 2" xfId="348" xr:uid="{00000000-0005-0000-0000-0000D6010000}"/>
    <cellStyle name="Normal 4 3 2 2 2 2 2" xfId="544" xr:uid="{00000000-0005-0000-0000-0000D7010000}"/>
    <cellStyle name="Normal 4 3 2 4" xfId="177" xr:uid="{00000000-0005-0000-0000-0000D8010000}"/>
    <cellStyle name="Normal 4 3 2 4 2" xfId="403" xr:uid="{00000000-0005-0000-0000-0000D9010000}"/>
    <cellStyle name="Normal 4 3 3" xfId="246" xr:uid="{00000000-0005-0000-0000-0000DA010000}"/>
    <cellStyle name="Normal 4 3 3 2" xfId="346" xr:uid="{00000000-0005-0000-0000-0000DB010000}"/>
    <cellStyle name="Normal 4 3 4" xfId="341" xr:uid="{00000000-0005-0000-0000-0000DC010000}"/>
    <cellStyle name="Normal 4 3 6" xfId="249" xr:uid="{00000000-0005-0000-0000-0000DD010000}"/>
    <cellStyle name="Normal 4 3 6 2" xfId="350" xr:uid="{00000000-0005-0000-0000-0000DE010000}"/>
    <cellStyle name="Normal 4 4" xfId="152" xr:uid="{00000000-0005-0000-0000-0000DF010000}"/>
    <cellStyle name="Normal 4 4 2" xfId="279" xr:uid="{00000000-0005-0000-0000-0000E0010000}"/>
    <cellStyle name="Normal 4 4 2 2" xfId="375" xr:uid="{00000000-0005-0000-0000-0000E1010000}"/>
    <cellStyle name="Normal 4 4 3" xfId="334" xr:uid="{00000000-0005-0000-0000-0000E2010000}"/>
    <cellStyle name="Normal 4 5" xfId="170" xr:uid="{00000000-0005-0000-0000-0000E3010000}"/>
    <cellStyle name="Normal 4 5 2" xfId="347" xr:uid="{00000000-0005-0000-0000-0000E4010000}"/>
    <cellStyle name="Normal 4 6" xfId="328" xr:uid="{00000000-0005-0000-0000-0000E5010000}"/>
    <cellStyle name="Normal 5" xfId="7" xr:uid="{00000000-0005-0000-0000-0000E6010000}"/>
    <cellStyle name="Normal 5 2" xfId="161" xr:uid="{00000000-0005-0000-0000-0000E7010000}"/>
    <cellStyle name="Normal 5 2 2" xfId="162" xr:uid="{00000000-0005-0000-0000-0000E8010000}"/>
    <cellStyle name="Normal 5 2 31 2" xfId="22" xr:uid="{00000000-0005-0000-0000-0000E9010000}"/>
    <cellStyle name="Normal 6" xfId="23" xr:uid="{00000000-0005-0000-0000-0000EA010000}"/>
    <cellStyle name="Normal 6 2" xfId="174" xr:uid="{00000000-0005-0000-0000-0000EB010000}"/>
    <cellStyle name="Normal 6 3" xfId="559" xr:uid="{BCCC5C06-CBF1-4F11-AE90-5E877F885BEE}"/>
    <cellStyle name="Normal 7" xfId="24" xr:uid="{00000000-0005-0000-0000-0000EC010000}"/>
    <cellStyle name="Normal 7 2" xfId="49" xr:uid="{00000000-0005-0000-0000-0000ED010000}"/>
    <cellStyle name="Normal 7 2 2" xfId="157" xr:uid="{00000000-0005-0000-0000-0000EE010000}"/>
    <cellStyle name="Normal 7 2 2 2" xfId="214" xr:uid="{00000000-0005-0000-0000-0000EF010000}"/>
    <cellStyle name="Normal 7 2 2 3" xfId="237" xr:uid="{00000000-0005-0000-0000-0000F0010000}"/>
    <cellStyle name="Normal 7 2 2 4" xfId="419" xr:uid="{00000000-0005-0000-0000-0000F1010000}"/>
    <cellStyle name="Normal 7 2 2 5" xfId="477" xr:uid="{00000000-0005-0000-0000-0000F2010000}"/>
    <cellStyle name="Normal 7 2 3" xfId="11" xr:uid="{00000000-0005-0000-0000-0000F3010000}"/>
    <cellStyle name="Normal 7 2 4" xfId="197" xr:uid="{00000000-0005-0000-0000-0000F4010000}"/>
    <cellStyle name="Normal 7 3" xfId="185" xr:uid="{00000000-0005-0000-0000-0000F5010000}"/>
    <cellStyle name="Normal 7 4" xfId="234" xr:uid="{00000000-0005-0000-0000-0000F6010000}"/>
    <cellStyle name="Normal 7 5" xfId="418" xr:uid="{00000000-0005-0000-0000-0000F7010000}"/>
    <cellStyle name="Normal 7 6" xfId="476" xr:uid="{00000000-0005-0000-0000-0000F8010000}"/>
    <cellStyle name="Normal 8" xfId="8" xr:uid="{00000000-0005-0000-0000-0000F9010000}"/>
    <cellStyle name="Normal 9" xfId="40" xr:uid="{00000000-0005-0000-0000-0000FA010000}"/>
    <cellStyle name="Normal 9 2" xfId="41" xr:uid="{00000000-0005-0000-0000-0000FB010000}"/>
    <cellStyle name="Normal 9 2 2" xfId="55" xr:uid="{00000000-0005-0000-0000-0000FC010000}"/>
    <cellStyle name="Normal 9 2 2 2" xfId="203" xr:uid="{00000000-0005-0000-0000-0000FD010000}"/>
    <cellStyle name="Normal 9 2 3" xfId="191" xr:uid="{00000000-0005-0000-0000-0000FE010000}"/>
    <cellStyle name="Normal 9 3" xfId="54" xr:uid="{00000000-0005-0000-0000-0000FF010000}"/>
    <cellStyle name="Normal 9 3 2" xfId="202" xr:uid="{00000000-0005-0000-0000-000000020000}"/>
    <cellStyle name="Normal 9 4" xfId="190" xr:uid="{00000000-0005-0000-0000-000001020000}"/>
    <cellStyle name="Normal 9 5" xfId="302" xr:uid="{00000000-0005-0000-0000-000002020000}"/>
    <cellStyle name="ParaBirimi [0]_RESULTS" xfId="127" xr:uid="{00000000-0005-0000-0000-000004020000}"/>
    <cellStyle name="ParaBirimi_RESULTS" xfId="128" xr:uid="{00000000-0005-0000-0000-000005020000}"/>
    <cellStyle name="Percent [0]" xfId="129" xr:uid="{00000000-0005-0000-0000-000006020000}"/>
    <cellStyle name="Percent [00]" xfId="130" xr:uid="{00000000-0005-0000-0000-000007020000}"/>
    <cellStyle name="Percent [2]" xfId="131" xr:uid="{00000000-0005-0000-0000-000008020000}"/>
    <cellStyle name="Percent 2" xfId="20" xr:uid="{00000000-0005-0000-0000-000009020000}"/>
    <cellStyle name="Percent 3" xfId="26" xr:uid="{00000000-0005-0000-0000-00000A020000}"/>
    <cellStyle name="Percent 3 2" xfId="275" xr:uid="{00000000-0005-0000-0000-00000B020000}"/>
    <cellStyle name="Percent 3 2 2" xfId="371" xr:uid="{00000000-0005-0000-0000-00000C020000}"/>
    <cellStyle name="Percent 3 3" xfId="331" xr:uid="{00000000-0005-0000-0000-00000D020000}"/>
    <cellStyle name="Percent 4" xfId="243" xr:uid="{00000000-0005-0000-0000-00000E020000}"/>
    <cellStyle name="Percent 5" xfId="412" xr:uid="{00000000-0005-0000-0000-00000F020000}"/>
    <cellStyle name="Percent 6" xfId="422" xr:uid="{00000000-0005-0000-0000-000010020000}"/>
    <cellStyle name="Percent 7" xfId="458" xr:uid="{00000000-0005-0000-0000-000011020000}"/>
    <cellStyle name="Percent 8" xfId="480" xr:uid="{00000000-0005-0000-0000-000012020000}"/>
    <cellStyle name="Percent 9" xfId="557" xr:uid="{00000000-0005-0000-0000-000035020000}"/>
    <cellStyle name="PrePop Currency (0)" xfId="132" xr:uid="{00000000-0005-0000-0000-000013020000}"/>
    <cellStyle name="PrePop Currency (2)" xfId="133" xr:uid="{00000000-0005-0000-0000-000014020000}"/>
    <cellStyle name="PrePop Units (0)" xfId="134" xr:uid="{00000000-0005-0000-0000-000015020000}"/>
    <cellStyle name="PrePop Units (1)" xfId="135" xr:uid="{00000000-0005-0000-0000-000016020000}"/>
    <cellStyle name="PrePop Units (2)" xfId="136" xr:uid="{00000000-0005-0000-0000-000017020000}"/>
    <cellStyle name="report_title" xfId="137" xr:uid="{00000000-0005-0000-0000-000018020000}"/>
    <cellStyle name="Text Indent A" xfId="138" xr:uid="{00000000-0005-0000-0000-000019020000}"/>
    <cellStyle name="Text Indent B" xfId="139" xr:uid="{00000000-0005-0000-0000-00001A020000}"/>
    <cellStyle name="Text Indent C" xfId="140" xr:uid="{00000000-0005-0000-0000-00001B020000}"/>
    <cellStyle name="Virg? [0]_RESULTS" xfId="141" xr:uid="{00000000-0005-0000-0000-00001C020000}"/>
    <cellStyle name="Virg?_RESULTS" xfId="142" xr:uid="{00000000-0005-0000-0000-00001D020000}"/>
    <cellStyle name="เครื่องหมายจุลภาค 2" xfId="143" xr:uid="{00000000-0005-0000-0000-00001E020000}"/>
    <cellStyle name="เครื่องหมายจุลภาค 2 2" xfId="144" xr:uid="{00000000-0005-0000-0000-00001F020000}"/>
    <cellStyle name="เครื่องหมายจุลภาค 2 2 2" xfId="270" xr:uid="{00000000-0005-0000-0000-000020020000}"/>
    <cellStyle name="เครื่องหมายจุลภาค 2 2 2 2" xfId="366" xr:uid="{00000000-0005-0000-0000-000021020000}"/>
    <cellStyle name="เครื่องหมายจุลภาค 2 2 3" xfId="325" xr:uid="{00000000-0005-0000-0000-000022020000}"/>
    <cellStyle name="เครื่องหมายจุลภาค 2 2 4" xfId="227" xr:uid="{00000000-0005-0000-0000-000023020000}"/>
    <cellStyle name="เครื่องหมายจุลภาค 2 3" xfId="269" xr:uid="{00000000-0005-0000-0000-000024020000}"/>
    <cellStyle name="เครื่องหมายจุลภาค 2 3 2" xfId="365" xr:uid="{00000000-0005-0000-0000-000025020000}"/>
    <cellStyle name="เครื่องหมายจุลภาค 2 4" xfId="324" xr:uid="{00000000-0005-0000-0000-000026020000}"/>
    <cellStyle name="เครื่องหมายจุลภาค 2 5" xfId="226" xr:uid="{00000000-0005-0000-0000-000027020000}"/>
    <cellStyle name="เครื่องหมายจุลภาค 3" xfId="145" xr:uid="{00000000-0005-0000-0000-000028020000}"/>
    <cellStyle name="เครื่องหมายจุลภาค 3 2" xfId="271" xr:uid="{00000000-0005-0000-0000-000029020000}"/>
    <cellStyle name="เครื่องหมายจุลภาค 3 2 2" xfId="367" xr:uid="{00000000-0005-0000-0000-00002A020000}"/>
    <cellStyle name="เครื่องหมายจุลภาค 3 3" xfId="326" xr:uid="{00000000-0005-0000-0000-00002B020000}"/>
    <cellStyle name="เครื่องหมายจุลภาค 3 4" xfId="228" xr:uid="{00000000-0005-0000-0000-00002C020000}"/>
    <cellStyle name="ปกติ 2" xfId="146" xr:uid="{00000000-0005-0000-0000-00002D020000}"/>
    <cellStyle name="ปกติ 2 2" xfId="147" xr:uid="{00000000-0005-0000-0000-00002E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421005</xdr:colOff>
      <xdr:row>66</xdr:row>
      <xdr:rowOff>76200</xdr:rowOff>
    </xdr:from>
    <xdr:to>
      <xdr:col>23</xdr:col>
      <xdr:colOff>131629</xdr:colOff>
      <xdr:row>73</xdr:row>
      <xdr:rowOff>132261</xdr:rowOff>
    </xdr:to>
    <xdr:pic>
      <xdr:nvPicPr>
        <xdr:cNvPr id="2" name="Picture 1" descr="Caterpillar D5N XL Dozers for sale in Australia - constructionsales.com.au">
          <a:extLst>
            <a:ext uri="{FF2B5EF4-FFF2-40B4-BE49-F238E27FC236}">
              <a16:creationId xmlns:a16="http://schemas.microsoft.com/office/drawing/2014/main" id="{3CA7636C-BA9B-4BC4-9B10-0A4D1120A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35285" y="20383500"/>
          <a:ext cx="3372034" cy="2246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57150</xdr:colOff>
      <xdr:row>66</xdr:row>
      <xdr:rowOff>64770</xdr:rowOff>
    </xdr:from>
    <xdr:to>
      <xdr:col>15</xdr:col>
      <xdr:colOff>1506855</xdr:colOff>
      <xdr:row>73</xdr:row>
      <xdr:rowOff>175215</xdr:rowOff>
    </xdr:to>
    <xdr:pic>
      <xdr:nvPicPr>
        <xdr:cNvPr id="3" name="Picture 2" descr="รถดันดิน ยี่ห้อ CATERPILLAR D5N | บริษัทเจเอสเอสอาร์ อ๊อกชั่น จำกัด">
          <a:extLst>
            <a:ext uri="{FF2B5EF4-FFF2-40B4-BE49-F238E27FC236}">
              <a16:creationId xmlns:a16="http://schemas.microsoft.com/office/drawing/2014/main" id="{D44DE2C2-D451-43E4-BEC1-655F3381C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6550" y="20372070"/>
          <a:ext cx="3030855" cy="2295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1000126</xdr:colOff>
      <xdr:row>66</xdr:row>
      <xdr:rowOff>123826</xdr:rowOff>
    </xdr:from>
    <xdr:to>
      <xdr:col>18</xdr:col>
      <xdr:colOff>173357</xdr:colOff>
      <xdr:row>72</xdr:row>
      <xdr:rowOff>211909</xdr:rowOff>
    </xdr:to>
    <xdr:pic>
      <xdr:nvPicPr>
        <xdr:cNvPr id="4" name="Picture 3" descr="Caterpillar D5G XL Construction equipment for sale in Australia -  constructionsales.com.au">
          <a:extLst>
            <a:ext uri="{FF2B5EF4-FFF2-40B4-BE49-F238E27FC236}">
              <a16:creationId xmlns:a16="http://schemas.microsoft.com/office/drawing/2014/main" id="{3B25F244-5C12-480F-BDC9-63E64AC5B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44486" y="20431126"/>
          <a:ext cx="2948940" cy="1962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BT\&#3594;&#3637;&#3657;&#3649;&#3592;&#3591;&#3586;&#3657;&#3629;&#3617;&#3641;&#3621;\&#3627;&#3623;&#3591;.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BT\Debt2545\&#3611;&#3619;&#3633;&#3610;&#3648;&#3604;&#3639;&#3629;&#3609;&#3614;.&#3618;.44\INT45(Rate4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EBT\Debt2548\Adj%202547-2548%20(&#3585;&#3619;&#3619;&#3617;&#3634;&#3608;&#3636;&#3585;&#3634;&#3619;)\&#3611;&#3637;%202547%20(&#3592;&#3619;&#3636;&#3591;%209&#3648;&#3604;&#3639;&#3629;&#3609;)\IDC%202547%20(&#3619;&#3585;&#3591;.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RIL-Retro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36_21\yoot\SubStation_2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90.64\02_Load\form%20pc636_20\drive%20e\P%20D%20P\PDP2007\2007_May\P%20D%20P\Pdp2004-(MEG)\2004-\PDP2001_SC101_15RMP_SHD(No_SRT)New_Instal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M39\LEVELAL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90.64\02_Load\data-c\KAI\PRICE\PRICE2549\&#3619;&#3634;&#3588;&#3634;&#3585;&#3658;&#3634;&#3595;&#3631;%20PDP2006\CRUDE&#3611;&#3605;&#3607;\LNG%20Blend%20&#3651;&#3609;%20Pool2\Volume&#3611;&#3619;&#3633;&#3610;&#3651;&#3627;&#3617;&#3656;\&#3649;&#3585;&#3657;&#3652;&#3586;\gas-price_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90.64\02_Load\job\Statistic\Fuel%20Price\Fuelmonthly4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amnan\print-out-03(2)-pd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fuel\&#3619;&#3634;&#3588;&#3634;\2007\070221\&#3619;&#3634;&#3588;&#3634;&#3648;&#3594;&#3639;&#3657;&#3629;&#3648;&#3614;&#3621;&#3636;&#3591;%20PTT_%2021&#3585;&#3614;50_37&#3610;&#3634;&#3607;_Coal%204_Nuk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5_ExistingPowerPlant\2551-2008\07-Jul51\report\Existing%20Eng%20Thai_Jun5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90.64\02_Load\Program%20Files\Investment\PrintInvestmen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90.64\02_Load\Documents%20and%20Settings\Varagorn\Local%20Settings\Temporary%20Internet%20Files\Content.IE5\BNXZVL0S\Eb_PDP_2007_Base_Ministry_THBex_NNP_Case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ork\&#3607;&#3635;&#3605;&#3634;&#3619;&#3634;&#3591;-PDP\PDP2007-R2(20090326)-public\PDP2007-Rev2(wo-investment)-Th\table\RM_PDP2007Rev2_VSPP_Printou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90.64\02_Load\Documents%20and%20Settings\Kitti\Local%20Settings\Temporary%20Internet%20Files\Content.IE5\S9CTQH45\Eb_PDP2007Rev2_VSPP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anut\Desktop\DEBT\&#3594;&#3637;&#3657;&#3649;&#3592;&#3591;&#3586;&#3657;&#3629;&#3617;&#3641;&#3621;\&#3627;&#3623;&#3591;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udget\Budget2547\TS9%20(4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amnan\mai\Prin-out-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P%20D%20P\PDP2007-&#3611;&#3619;&#3633;&#3610;&#3611;&#3619;&#3640;&#3591;\PDP-EGAT%202008_2\&#3610;&#3607;%206-List-2008_x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BT\Debt2548\Adj%202547-2548%20(&#3585;&#3619;&#3619;&#3617;&#3634;&#3608;&#3636;&#3585;&#3634;&#3619;)\&#3611;&#3637;%202547%20(&#3592;&#3619;&#3636;&#3591;%209&#3648;&#3604;&#3639;&#3629;&#3609;)\IDC%202547%20(&#3619;&#3585;&#3591;.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UR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Y45"/>
      <sheetName val="Sheet2"/>
      <sheetName val="Sheet5"/>
      <sheetName val="Backyard"/>
      <sheetName val="รหัสงบประมาณ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45"/>
      <sheetName val="****00"/>
      <sheetName val="****01"/>
      <sheetName val="tabel"/>
      <sheetName val="____00"/>
      <sheetName val="____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 2547-2548"/>
      <sheetName val="IDC 2547 (ปรับปรุง) "/>
      <sheetName val="SUM IDC"/>
      <sheetName val="รายละเอียดIDC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-Retro"/>
      <sheetName val="APRIL_Retro"/>
      <sheetName val="รายละเอียดIDC"/>
      <sheetName val="รกส.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_SubPeak"/>
      <sheetName val="Month_VoltagePeak"/>
      <sheetName val="Manu"/>
      <sheetName val="Peak_Sub"/>
      <sheetName val="Peak_Voltage"/>
      <sheetName val="Month_Energy"/>
      <sheetName val="Energy"/>
      <sheetName val="Sumary_Oct"/>
      <sheetName val="Sumary_Nov"/>
      <sheetName val="Sumary_Dec"/>
      <sheetName val="Sumary_Jan"/>
      <sheetName val="Sumary_Feb"/>
      <sheetName val="Sumary_Mar"/>
      <sheetName val="Sumary_Apr"/>
      <sheetName val="Sumary_May"/>
      <sheetName val="Sumary_Jun"/>
      <sheetName val="Sumary_Jul"/>
      <sheetName val="Sumary_Aug"/>
      <sheetName val="Sumary_Sep"/>
      <sheetName val="Sub_Total"/>
      <sheetName val="Sub"/>
      <sheetName val="SubStation_2000"/>
      <sheetName val="TAB22"/>
      <sheetName val="TAB01"/>
      <sheetName val="Purc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Assumption"/>
      <sheetName val="CodeSource"/>
      <sheetName val="Input_BaseCost"/>
      <sheetName val="Input_Budget"/>
      <sheetName val="Input_Misc"/>
      <sheetName val="Input_Allocate"/>
      <sheetName val="Del_Recall"/>
      <sheetName val="Main_Report"/>
      <sheetName val="Print_Report"/>
      <sheetName val="Cal_Project"/>
      <sheetName val="Detail"/>
      <sheetName val="Dum_Detail"/>
      <sheetName val="Transfer"/>
      <sheetName val="Solution Investment"/>
      <sheetName val="Print_Expen"/>
      <sheetName val="Report_Detail"/>
      <sheetName val="Dam_Line"/>
      <sheetName val="Cover"/>
      <sheetName val="Thai_R01"/>
      <sheetName val="Thai_R02"/>
      <sheetName val="Thai_R03"/>
      <sheetName val="USD_R01"/>
      <sheetName val="USD_R02"/>
      <sheetName val="USD_R03"/>
      <sheetName val="Table_NESDB"/>
      <sheetName val="Recall"/>
      <sheetName val="Test_FC"/>
      <sheetName val="Test_LC"/>
      <sheetName val="Test_Total"/>
      <sheetName val="PlanToPlan"/>
      <sheetName val="ThaiB_R01"/>
      <sheetName val="ThaiB_R02"/>
      <sheetName val="ThaiB_R03"/>
      <sheetName val="Dum_AllocateIDC"/>
      <sheetName val="BaseCost"/>
      <sheetName val="Summary"/>
      <sheetName val="Report_AllIDC"/>
      <sheetName val="Sub"/>
      <sheetName val="ForecastLoadMonth57_64"/>
      <sheetName val="Printout"/>
      <sheetName val="factor"/>
      <sheetName val="High Potential "/>
      <sheetName val="สิ่งแนบ 8"/>
      <sheetName val="1.1แผนใหม่ หมวดคจ.อุปกรณ์"/>
      <sheetName val="1.2แผนใหม่ หมวดสิ่งก่อสร้าง"/>
      <sheetName val="1.3 แผนต่อเนื่อง"/>
      <sheetName val="2.แผนเช่ายานพาหนะ"/>
      <sheetName val="3.1รายปี หมวดคจ.อุปกรณ์"/>
      <sheetName val="3.2รายปี หมวดสิ่งก่อสร้าง"/>
      <sheetName val="3.3รายปี ครุภัณฑ์"/>
      <sheetName val="3.4รายปี กล้อง LCD,Drone"/>
      <sheetName val="3.5รายปี ยานพาหนะ"/>
      <sheetName val="3.6รายปี ครุภัณฑ์เครื่องจักรกล"/>
      <sheetName val="repay45"/>
      <sheetName val="Gen"/>
      <sheetName val="Other"/>
      <sheetName val="Wholesale"/>
      <sheetName val="Tran"/>
      <sheetName val="APRIL-Retro"/>
    </sheetNames>
    <sheetDataSet>
      <sheetData sheetId="0" refreshError="1"/>
      <sheetData sheetId="1">
        <row r="3">
          <cell r="D3" t="str">
            <v>7TUPDC</v>
          </cell>
        </row>
      </sheetData>
      <sheetData sheetId="2"/>
      <sheetData sheetId="3"/>
      <sheetData sheetId="4"/>
      <sheetData sheetId="5">
        <row r="3">
          <cell r="D3" t="str">
            <v>7TUPDC</v>
          </cell>
        </row>
      </sheetData>
      <sheetData sheetId="6"/>
      <sheetData sheetId="7" refreshError="1"/>
      <sheetData sheetId="8"/>
      <sheetData sheetId="9">
        <row r="3">
          <cell r="D3" t="str">
            <v>7TUPDC</v>
          </cell>
        </row>
      </sheetData>
      <sheetData sheetId="10" refreshError="1">
        <row r="3">
          <cell r="D3" t="str">
            <v>7TUPDC</v>
          </cell>
        </row>
        <row r="4">
          <cell r="D4" t="str">
            <v>TRANSMISSION SYSTEM FOR  IPP UNION  UNIT 1-2 ( COAL  700+700 MW )</v>
          </cell>
        </row>
        <row r="6">
          <cell r="D6" t="str">
            <v>April</v>
          </cell>
          <cell r="E6">
            <v>2005</v>
          </cell>
          <cell r="F6">
            <v>1</v>
          </cell>
        </row>
        <row r="7">
          <cell r="D7">
            <v>2000</v>
          </cell>
          <cell r="G7">
            <v>1998</v>
          </cell>
        </row>
        <row r="8">
          <cell r="D8">
            <v>38</v>
          </cell>
          <cell r="G8">
            <v>2005</v>
          </cell>
          <cell r="J8" t="b">
            <v>1</v>
          </cell>
        </row>
        <row r="9">
          <cell r="D9">
            <v>0</v>
          </cell>
          <cell r="J9" t="b">
            <v>0</v>
          </cell>
          <cell r="L9">
            <v>0</v>
          </cell>
        </row>
        <row r="10">
          <cell r="D10">
            <v>65</v>
          </cell>
          <cell r="L10">
            <v>0</v>
          </cell>
        </row>
        <row r="11">
          <cell r="L11">
            <v>0</v>
          </cell>
        </row>
        <row r="12">
          <cell r="D12" t="str">
            <v>OGP</v>
          </cell>
        </row>
        <row r="16">
          <cell r="D16">
            <v>0</v>
          </cell>
          <cell r="E16">
            <v>7.1780742149351262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6.78</v>
          </cell>
          <cell r="AB16">
            <v>0</v>
          </cell>
        </row>
        <row r="17">
          <cell r="D17">
            <v>0</v>
          </cell>
          <cell r="E17">
            <v>52.209039321018466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51.31</v>
          </cell>
          <cell r="AB17">
            <v>0</v>
          </cell>
        </row>
        <row r="18">
          <cell r="D18">
            <v>0</v>
          </cell>
          <cell r="E18">
            <v>2.7934240362811789</v>
          </cell>
          <cell r="F18">
            <v>0</v>
          </cell>
          <cell r="G18">
            <v>0.16</v>
          </cell>
          <cell r="H18">
            <v>0</v>
          </cell>
          <cell r="I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2.91</v>
          </cell>
          <cell r="AB18">
            <v>0</v>
          </cell>
        </row>
        <row r="19">
          <cell r="D19">
            <v>0</v>
          </cell>
          <cell r="E19">
            <v>21.864981864981861</v>
          </cell>
          <cell r="F19">
            <v>0</v>
          </cell>
          <cell r="G19">
            <v>1.29</v>
          </cell>
          <cell r="H19">
            <v>0</v>
          </cell>
          <cell r="I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23.36</v>
          </cell>
          <cell r="AB19">
            <v>0</v>
          </cell>
        </row>
        <row r="20">
          <cell r="D20">
            <v>0</v>
          </cell>
          <cell r="E20">
            <v>106.46897603419342</v>
          </cell>
          <cell r="F20">
            <v>0</v>
          </cell>
          <cell r="G20">
            <v>6.27</v>
          </cell>
          <cell r="H20">
            <v>0</v>
          </cell>
          <cell r="I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117.73</v>
          </cell>
          <cell r="AB20">
            <v>0</v>
          </cell>
        </row>
        <row r="21">
          <cell r="D21">
            <v>66.284562143186278</v>
          </cell>
          <cell r="E21">
            <v>50.315451125545557</v>
          </cell>
          <cell r="F21">
            <v>3.31</v>
          </cell>
          <cell r="G21">
            <v>2.97</v>
          </cell>
          <cell r="H21">
            <v>0</v>
          </cell>
          <cell r="I21">
            <v>0</v>
          </cell>
        </row>
        <row r="22">
          <cell r="D22">
            <v>132.56912428637256</v>
          </cell>
          <cell r="E22">
            <v>100.63090225109111</v>
          </cell>
          <cell r="F22">
            <v>6.63</v>
          </cell>
          <cell r="G22">
            <v>5.93</v>
          </cell>
          <cell r="H22">
            <v>0</v>
          </cell>
          <cell r="I22">
            <v>0</v>
          </cell>
        </row>
        <row r="23">
          <cell r="D23">
            <v>66.284562143186278</v>
          </cell>
          <cell r="E23">
            <v>50.315451125545557</v>
          </cell>
          <cell r="F23">
            <v>3.31</v>
          </cell>
          <cell r="G23">
            <v>2.97</v>
          </cell>
          <cell r="H23">
            <v>0</v>
          </cell>
          <cell r="I23">
            <v>0</v>
          </cell>
        </row>
      </sheetData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el_all"/>
      <sheetName val="AllDam (ใช้งาน)"/>
      <sheetName val="(Ref)"/>
      <sheetName val="Sheet3"/>
      <sheetName val="bb"/>
      <sheetName val="sk"/>
      <sheetName val="snr"/>
      <sheetName val="khl"/>
      <sheetName val="rpb"/>
      <sheetName val="blg"/>
      <sheetName val="ur"/>
      <sheetName val="srd"/>
      <sheetName val="clb"/>
      <sheetName val="np"/>
      <sheetName val="kkc"/>
      <sheetName val="krd"/>
      <sheetName val="mng"/>
      <sheetName val="พลังงานไฟฟ้า"/>
      <sheetName val="Input_Allocate"/>
      <sheetName val="Cal_Project"/>
      <sheetName val="Dum_AllocateIDC"/>
      <sheetName val="Report_AllIDC"/>
      <sheetName val="Apr"/>
      <sheetName val="Aug"/>
      <sheetName val="Feb"/>
      <sheetName val="Jan"/>
      <sheetName val="Jun"/>
      <sheetName val="Jul"/>
      <sheetName val="Mar"/>
      <sheetName val="May"/>
      <sheetName val="Oct"/>
      <sheetName val="Sep"/>
      <sheetName val="factor"/>
      <sheetName val="AuxiliaryTables"/>
      <sheetName val="สิ่งแนบ 8"/>
      <sheetName val="1.1แผนใหม่ หมวดคจ.อุปกรณ์"/>
      <sheetName val="1.2แผนใหม่ หมวดสิ่งก่อสร้าง"/>
      <sheetName val="1.3 แผนต่อเนื่อง"/>
      <sheetName val="2.แผนเช่ายานพาหนะ"/>
      <sheetName val="3.1รายปี หมวดคจ.อุปกรณ์"/>
      <sheetName val="3.2รายปี หมวดสิ่งก่อสร้าง"/>
      <sheetName val="3.3รายปี ครุภัณฑ์"/>
      <sheetName val="3.4รายปี กล้อง LCD,Drone"/>
      <sheetName val="3.5รายปี ยานพาหนะ"/>
      <sheetName val="3.6รายปี ครุภัณฑ์เครื่องจักรกล"/>
      <sheetName val="repay45"/>
      <sheetName val="LEVELALL"/>
      <sheetName val="USD"/>
      <sheetName val="THB"/>
      <sheetName val="Monthly USD"/>
      <sheetName val="Monthly THB"/>
      <sheetName val="Quaterly USD"/>
      <sheetName val="Quaterly THB"/>
      <sheetName val="FX"/>
      <sheetName val="By book"/>
      <sheetName val="สรุปวงเงินดำเนินการ_V0 "/>
      <sheetName val="ASSUMPTION"/>
      <sheetName val="DataPlanning"/>
      <sheetName val="Gen"/>
      <sheetName val="Other"/>
      <sheetName val="Wholesale"/>
      <sheetName val="Tran"/>
      <sheetName val="รายละเอียดidc"/>
      <sheetName val="int45"/>
      <sheetName val="D_List"/>
      <sheetName val="sub"/>
      <sheetName val="wp"/>
    </sheetNames>
    <sheetDataSet>
      <sheetData sheetId="0" refreshError="1">
        <row r="2">
          <cell r="N2" t="str">
            <v>sk</v>
          </cell>
          <cell r="O2" t="str">
            <v>แผน ปี39Prob*0.40</v>
          </cell>
          <cell r="P2" t="str">
            <v>ระดับน้ำ ปี39</v>
          </cell>
          <cell r="Q2" t="str">
            <v>ระดับน้ำ ปี38</v>
          </cell>
          <cell r="R2" t="str">
            <v>ระดับน้ำ ปี37</v>
          </cell>
          <cell r="S2" t="str">
            <v>ระดับสูงสุดที่ควรจะเป็น</v>
          </cell>
          <cell r="T2" t="str">
            <v>ระดับต่ำสุดที่ควรจะเป็น</v>
          </cell>
          <cell r="U2" t="str">
            <v xml:space="preserve">ระดับที่เดินเครื่องได้เต็มที่ </v>
          </cell>
          <cell r="AC2" t="str">
            <v>mng</v>
          </cell>
          <cell r="AD2" t="str">
            <v>แผน ปี39 Prob*0.</v>
          </cell>
          <cell r="AE2" t="str">
            <v>ระดับน้ำ ปี39</v>
          </cell>
          <cell r="AF2" t="str">
            <v>ระดับน้ำ ปี38</v>
          </cell>
          <cell r="AG2" t="str">
            <v>ระดับน้ำ ปี37</v>
          </cell>
          <cell r="AH2" t="str">
            <v>ระดับที่ควรจะเป็น</v>
          </cell>
          <cell r="AI2" t="str">
            <v>ระดับต่ำสุดที่ควรจะเป็น</v>
          </cell>
          <cell r="AK2" t="str">
            <v>ระดับต่ำสุดที่เดินเครื่องได้</v>
          </cell>
          <cell r="AO2" t="str">
            <v>SNR</v>
          </cell>
          <cell r="AP2" t="str">
            <v>แผน ปี39 Prob*0.40</v>
          </cell>
          <cell r="AQ2" t="str">
            <v>ระดับน้ำ ปี39</v>
          </cell>
          <cell r="AR2" t="str">
            <v>ระดับน้ำ ปี38</v>
          </cell>
          <cell r="AS2" t="str">
            <v>ระดับน้ำ ปี37</v>
          </cell>
          <cell r="AT2" t="str">
            <v>ระดับสูงสุดที่ควรจะเป็น</v>
          </cell>
          <cell r="AU2" t="str">
            <v>ระดับต่ำสุดที่ควรจะเป็น</v>
          </cell>
          <cell r="AV2" t="str">
            <v>ระดับที่เดินเครื่องได้เต็มที่ #4-5</v>
          </cell>
          <cell r="AW2" t="str">
            <v>ระดับที่เดินเครื่องได้เต็มที่ #1-3</v>
          </cell>
          <cell r="AX2" t="str">
            <v>ระดับต่ำสุดที่เดินเครื่องได้</v>
          </cell>
          <cell r="BB2" t="str">
            <v>khl</v>
          </cell>
          <cell r="BC2" t="str">
            <v>แผน ปี39 Prob*0.40</v>
          </cell>
          <cell r="BD2" t="str">
            <v>ระดับน้ำ ปี39</v>
          </cell>
          <cell r="BE2" t="str">
            <v>ระดับน้ำ ปี38</v>
          </cell>
          <cell r="BF2" t="str">
            <v>ระดับน้ำ ปี37</v>
          </cell>
          <cell r="BG2" t="str">
            <v>ระดับสูงสุดที่ควรจะเป็น</v>
          </cell>
          <cell r="BH2" t="str">
            <v>ระดับต่ำสุดที่ควรจะเป็น</v>
          </cell>
          <cell r="BI2" t="str">
            <v xml:space="preserve">ระดับที่เดินเครื่องได้เต็มที่ </v>
          </cell>
          <cell r="BK2" t="str">
            <v>ระดับต่ำสุดที่เดินเครื่องได้</v>
          </cell>
          <cell r="BO2" t="str">
            <v>kkc</v>
          </cell>
          <cell r="BP2" t="str">
            <v>แผน ปี39 Prob*0.40</v>
          </cell>
          <cell r="BQ2" t="str">
            <v>ระดับน้ำ ปี39</v>
          </cell>
          <cell r="BR2" t="str">
            <v>ระดับน้ำ ปี38</v>
          </cell>
          <cell r="BS2" t="str">
            <v>ระดับน้ำ ปี37</v>
          </cell>
          <cell r="BT2" t="str">
            <v>ระดับที่ควรจะเป็น</v>
          </cell>
          <cell r="BU2" t="str">
            <v>ระดับต่ำสุดที่ควรจะเป็น</v>
          </cell>
          <cell r="BV2" t="str">
            <v xml:space="preserve">ระดับที่เดินเครื่องได้เต็มที่ </v>
          </cell>
          <cell r="BW2" t="str">
            <v>ระดับต่ำสุดที่เดินเครื่องได้</v>
          </cell>
          <cell r="CC2" t="str">
            <v>krd</v>
          </cell>
          <cell r="CD2" t="str">
            <v xml:space="preserve">แผน ปี39 </v>
          </cell>
          <cell r="CE2" t="str">
            <v>ระดับน้ำ ปี39</v>
          </cell>
          <cell r="CF2" t="str">
            <v>ระดับน้ำ ปี38</v>
          </cell>
          <cell r="CG2" t="str">
            <v>ระดับน้ำ ปี37</v>
          </cell>
          <cell r="CH2" t="str">
            <v>ระดับที่ควรจะเป็น</v>
          </cell>
          <cell r="CI2" t="str">
            <v>ระดับต่ำสุดที่ควรจะเป็น</v>
          </cell>
          <cell r="CJ2" t="str">
            <v xml:space="preserve">ระดับที่เดินเครื่องได้เต็มที่ </v>
          </cell>
          <cell r="CK2" t="str">
            <v>***</v>
          </cell>
          <cell r="CL2" t="str">
            <v>ระดับต่ำสุดที่เดินเครื่องได้</v>
          </cell>
          <cell r="CP2" t="str">
            <v>UR</v>
          </cell>
          <cell r="CQ2" t="str">
            <v>แผน ปี39 Prob*0.40</v>
          </cell>
          <cell r="CR2" t="str">
            <v>ระดับน้ำ ปี39</v>
          </cell>
          <cell r="CS2" t="str">
            <v>ระดับน้ำ ปี38</v>
          </cell>
          <cell r="CT2" t="str">
            <v>ระดับน้ำ ปี37</v>
          </cell>
          <cell r="CU2" t="str">
            <v>ระดับที่ควรจะเป็น</v>
          </cell>
          <cell r="CV2" t="str">
            <v>ระดับต่ำสุดที่ควรจะเป็น</v>
          </cell>
          <cell r="CW2" t="str">
            <v xml:space="preserve">ระดับที่เดินเครื่องได้เต็มที่ </v>
          </cell>
          <cell r="CX2" t="str">
            <v>ฟฟฟ</v>
          </cell>
          <cell r="CY2" t="str">
            <v>ระดับต่ำสุดที่เดินเครื่องได้</v>
          </cell>
          <cell r="DD2" t="str">
            <v>SRD</v>
          </cell>
          <cell r="DE2" t="str">
            <v>แผน ปี39 Prob*0.40</v>
          </cell>
          <cell r="DF2" t="str">
            <v>ระดับน้ำ ปี39</v>
          </cell>
          <cell r="DG2" t="str">
            <v>ระดับน้ำ ปี38</v>
          </cell>
          <cell r="DH2" t="str">
            <v>ระดับน้ำ ปี37</v>
          </cell>
          <cell r="DI2" t="str">
            <v>ระดับที่ควรจะเป็น</v>
          </cell>
          <cell r="DJ2" t="str">
            <v>ระดับต่ำสุดที่ควรจะเป็น</v>
          </cell>
          <cell r="DK2" t="str">
            <v xml:space="preserve">ระดับที่เดินเครื่องได้เต็มที่ </v>
          </cell>
          <cell r="DL2" t="str">
            <v>ฟฟฟ</v>
          </cell>
          <cell r="DM2" t="str">
            <v>ระดับต่ำสุดที่เดินเครื่องได้</v>
          </cell>
          <cell r="DQ2" t="str">
            <v>CLB</v>
          </cell>
          <cell r="DR2" t="str">
            <v>แผน ปี39 Prob*0.40</v>
          </cell>
          <cell r="DS2" t="str">
            <v>ระดับน้ำ ปี39</v>
          </cell>
          <cell r="DT2" t="str">
            <v>ระดับน้ำ ปี38</v>
          </cell>
          <cell r="DU2" t="str">
            <v>ระดับน้ำ ปี37</v>
          </cell>
          <cell r="DV2" t="str">
            <v>ระดับที่ควรจะเป็น</v>
          </cell>
          <cell r="DW2" t="str">
            <v>ระดับต่ำสุดที่ควรจะเป็น</v>
          </cell>
          <cell r="DX2" t="str">
            <v xml:space="preserve">ระดับที่เดินเครื่องได้เต็มที่ </v>
          </cell>
          <cell r="DY2" t="str">
            <v>ฟฟฟ</v>
          </cell>
          <cell r="DZ2" t="str">
            <v>ระดับต่ำสุดที่เดินเครื่องได้</v>
          </cell>
          <cell r="EG2" t="str">
            <v>NP</v>
          </cell>
          <cell r="EH2" t="str">
            <v>แผน ปี39 Prob*0.40</v>
          </cell>
          <cell r="EI2" t="str">
            <v>ระดับน้ำ ปี39</v>
          </cell>
          <cell r="EJ2" t="str">
            <v>ระดับน้ำ ปี38</v>
          </cell>
          <cell r="EK2" t="str">
            <v>ระดับน้ำ ปี37</v>
          </cell>
          <cell r="EL2" t="str">
            <v>ระดับที่ควรจะเป็น</v>
          </cell>
          <cell r="EN2" t="str">
            <v xml:space="preserve">ระดับที่เดินเครื่องได้เต็มที่ </v>
          </cell>
          <cell r="EO2" t="str">
            <v>ฟฟฟ</v>
          </cell>
          <cell r="EP2" t="str">
            <v>ระดับต่ำสุดที่เดินเครื่องได้</v>
          </cell>
          <cell r="ER2" t="str">
            <v>RPB</v>
          </cell>
          <cell r="ES2" t="str">
            <v>แผน ปี39 Prob*0.40</v>
          </cell>
          <cell r="ET2" t="str">
            <v>ระดับน้ำ ปี39</v>
          </cell>
          <cell r="EU2" t="str">
            <v>ระดับน้ำ ปี38</v>
          </cell>
          <cell r="EV2" t="str">
            <v>ระดับน้ำ ปี37</v>
          </cell>
          <cell r="EW2" t="str">
            <v>ระดับสูงสุดที่ควรจะเป็น</v>
          </cell>
          <cell r="EX2" t="str">
            <v>ระดับต่ำสุดที่ควรจะเป็น</v>
          </cell>
          <cell r="EY2" t="str">
            <v xml:space="preserve">ระดับที่เดินเครื่องได้เต็มที่ </v>
          </cell>
          <cell r="EZ2" t="str">
            <v>ระดับต่ำสุดที่เดินเครื่องได้</v>
          </cell>
          <cell r="FH2" t="str">
            <v>BLG</v>
          </cell>
          <cell r="FI2" t="str">
            <v>แผน ปี39 Prob*0.40</v>
          </cell>
          <cell r="FJ2" t="str">
            <v>ระดับน้ำ ปี39</v>
          </cell>
          <cell r="FK2" t="str">
            <v>ระดับน้ำ ปี38</v>
          </cell>
          <cell r="FL2" t="str">
            <v>ระดับน้ำ ปี37</v>
          </cell>
          <cell r="FM2" t="str">
            <v>ระดับ ปี36</v>
          </cell>
          <cell r="FN2" t="str">
            <v>ระดับที่ควรจะเป็น</v>
          </cell>
          <cell r="FO2" t="str">
            <v>ระดับต่ำสุดที่ควรจะเป็น</v>
          </cell>
          <cell r="FP2" t="str">
            <v>ระดับต่ำสุดที่เดินเครื่องได้</v>
          </cell>
          <cell r="FQ2" t="str">
            <v xml:space="preserve">ระดับที่เดินเครื่องได้เต็มที่ </v>
          </cell>
        </row>
        <row r="3">
          <cell r="E3">
            <v>246.17</v>
          </cell>
          <cell r="F3">
            <v>221.23</v>
          </cell>
          <cell r="G3">
            <v>256.3</v>
          </cell>
          <cell r="H3">
            <v>242.2</v>
          </cell>
          <cell r="I3">
            <v>244.8</v>
          </cell>
          <cell r="J3">
            <v>239.8</v>
          </cell>
          <cell r="K3">
            <v>213</v>
          </cell>
          <cell r="N3" t="str">
            <v>30 กย.</v>
          </cell>
          <cell r="O3">
            <v>162</v>
          </cell>
          <cell r="P3">
            <v>162</v>
          </cell>
          <cell r="Q3">
            <v>159.53</v>
          </cell>
          <cell r="R3">
            <v>136.30000000000001</v>
          </cell>
          <cell r="S3">
            <v>161.41999999999999</v>
          </cell>
          <cell r="T3">
            <v>151</v>
          </cell>
          <cell r="U3">
            <v>151.4</v>
          </cell>
          <cell r="AC3" t="str">
            <v>30 กย.</v>
          </cell>
          <cell r="AD3">
            <v>396.31</v>
          </cell>
          <cell r="AE3">
            <v>396.31</v>
          </cell>
          <cell r="AF3">
            <v>395.18</v>
          </cell>
          <cell r="AG3">
            <v>376.12</v>
          </cell>
          <cell r="AH3">
            <v>395</v>
          </cell>
          <cell r="AK3">
            <v>365.1</v>
          </cell>
          <cell r="AO3" t="str">
            <v>30 กย.</v>
          </cell>
          <cell r="AP3">
            <v>172.85</v>
          </cell>
          <cell r="AQ3">
            <v>172.85</v>
          </cell>
          <cell r="AR3">
            <v>174.54</v>
          </cell>
          <cell r="AS3">
            <v>164.94</v>
          </cell>
          <cell r="AT3">
            <v>178.1</v>
          </cell>
          <cell r="AU3">
            <v>162.6</v>
          </cell>
          <cell r="AV3">
            <v>168</v>
          </cell>
          <cell r="AW3">
            <v>162.5</v>
          </cell>
          <cell r="AX3">
            <v>159</v>
          </cell>
          <cell r="BB3" t="str">
            <v>30 กย.</v>
          </cell>
          <cell r="BC3">
            <v>151.72</v>
          </cell>
          <cell r="BD3">
            <v>151.72</v>
          </cell>
          <cell r="BE3">
            <v>155.01</v>
          </cell>
          <cell r="BF3">
            <v>145.53</v>
          </cell>
          <cell r="BG3">
            <v>153.9</v>
          </cell>
          <cell r="BH3">
            <v>142</v>
          </cell>
          <cell r="BI3">
            <v>147</v>
          </cell>
          <cell r="BK3">
            <v>135</v>
          </cell>
          <cell r="BO3" t="str">
            <v>30 กย.</v>
          </cell>
          <cell r="BP3">
            <v>97.87</v>
          </cell>
          <cell r="BQ3">
            <v>97.87</v>
          </cell>
          <cell r="BR3">
            <v>99.01</v>
          </cell>
          <cell r="BS3">
            <v>87.21</v>
          </cell>
          <cell r="BT3">
            <v>95.77</v>
          </cell>
          <cell r="BV3">
            <v>75</v>
          </cell>
          <cell r="BW3">
            <v>94</v>
          </cell>
          <cell r="CC3" t="str">
            <v>30 กย.</v>
          </cell>
          <cell r="CD3">
            <v>203.47</v>
          </cell>
          <cell r="CE3">
            <v>203.47</v>
          </cell>
          <cell r="CF3">
            <v>204.22</v>
          </cell>
          <cell r="CG3">
            <v>204.96</v>
          </cell>
          <cell r="CH3">
            <v>204.9</v>
          </cell>
          <cell r="CL3">
            <v>197</v>
          </cell>
          <cell r="CP3" t="str">
            <v>30 กย.</v>
          </cell>
          <cell r="CQ3">
            <v>180.47</v>
          </cell>
          <cell r="CR3">
            <v>180.47</v>
          </cell>
          <cell r="CS3">
            <v>178.12</v>
          </cell>
          <cell r="CT3">
            <v>175.21</v>
          </cell>
          <cell r="CU3">
            <v>179.15</v>
          </cell>
          <cell r="CV3">
            <v>183.3</v>
          </cell>
          <cell r="CY3">
            <v>174.2</v>
          </cell>
          <cell r="DD3" t="str">
            <v>30 กย.</v>
          </cell>
          <cell r="DE3">
            <v>140.85</v>
          </cell>
          <cell r="DF3">
            <v>140.85</v>
          </cell>
          <cell r="DG3">
            <v>140.91</v>
          </cell>
          <cell r="DH3">
            <v>140.06</v>
          </cell>
          <cell r="DI3">
            <v>141.88999999999999</v>
          </cell>
          <cell r="DK3">
            <v>139.19999999999999</v>
          </cell>
          <cell r="DM3">
            <v>137.19999999999999</v>
          </cell>
          <cell r="DQ3" t="str">
            <v>30 กย.</v>
          </cell>
          <cell r="DR3">
            <v>754.57</v>
          </cell>
          <cell r="DS3">
            <v>754.57</v>
          </cell>
          <cell r="DT3">
            <v>754.63</v>
          </cell>
          <cell r="DU3">
            <v>746.02</v>
          </cell>
          <cell r="DV3">
            <v>757.15</v>
          </cell>
          <cell r="DX3">
            <v>743.5</v>
          </cell>
          <cell r="DZ3">
            <v>739</v>
          </cell>
          <cell r="EG3" t="str">
            <v>30 กย.</v>
          </cell>
          <cell r="EH3">
            <v>283.76</v>
          </cell>
          <cell r="EI3">
            <v>283.76</v>
          </cell>
          <cell r="EJ3">
            <v>281.93</v>
          </cell>
          <cell r="EL3">
            <v>283.23</v>
          </cell>
          <cell r="ER3" t="str">
            <v>30 กย.</v>
          </cell>
          <cell r="ES3">
            <v>78.400000000000006</v>
          </cell>
          <cell r="ET3">
            <v>78.400000000000006</v>
          </cell>
          <cell r="EU3">
            <v>77.75</v>
          </cell>
          <cell r="EV3">
            <v>71.5</v>
          </cell>
          <cell r="EW3">
            <v>91.98</v>
          </cell>
          <cell r="EX3">
            <v>85.6</v>
          </cell>
          <cell r="EY3">
            <v>76</v>
          </cell>
          <cell r="EZ3">
            <v>62</v>
          </cell>
          <cell r="FH3" t="str">
            <v>30 กย.</v>
          </cell>
          <cell r="FI3">
            <v>104.46</v>
          </cell>
          <cell r="FJ3">
            <v>104.46</v>
          </cell>
          <cell r="FK3">
            <v>100.86</v>
          </cell>
          <cell r="FL3">
            <v>96.08</v>
          </cell>
          <cell r="FM3">
            <v>95.54</v>
          </cell>
          <cell r="FN3">
            <v>105.01</v>
          </cell>
          <cell r="FO3">
            <v>98.1</v>
          </cell>
          <cell r="FP3">
            <v>83</v>
          </cell>
          <cell r="FQ3">
            <v>105.7</v>
          </cell>
        </row>
        <row r="4">
          <cell r="E4">
            <v>249.93</v>
          </cell>
          <cell r="F4">
            <v>224.13</v>
          </cell>
          <cell r="G4">
            <v>259.54000000000002</v>
          </cell>
          <cell r="H4">
            <v>244.2</v>
          </cell>
          <cell r="I4">
            <v>244.8</v>
          </cell>
          <cell r="J4">
            <v>239.8</v>
          </cell>
          <cell r="K4">
            <v>213</v>
          </cell>
          <cell r="N4" t="str">
            <v>ตค.</v>
          </cell>
          <cell r="O4">
            <v>161.79</v>
          </cell>
          <cell r="Q4">
            <v>161.29</v>
          </cell>
          <cell r="R4">
            <v>137.38999999999999</v>
          </cell>
          <cell r="S4">
            <v>162</v>
          </cell>
          <cell r="T4">
            <v>152</v>
          </cell>
          <cell r="U4">
            <v>151.4</v>
          </cell>
          <cell r="AC4" t="str">
            <v>ตค.</v>
          </cell>
          <cell r="AD4" t="e">
            <v>#REF!</v>
          </cell>
          <cell r="AF4">
            <v>396.28</v>
          </cell>
          <cell r="AG4">
            <v>379.61</v>
          </cell>
          <cell r="AH4">
            <v>395.82</v>
          </cell>
          <cell r="AK4">
            <v>365.1</v>
          </cell>
          <cell r="AO4" t="str">
            <v>ตค.</v>
          </cell>
          <cell r="AP4" t="e">
            <v>#REF!</v>
          </cell>
          <cell r="AR4">
            <v>175.98</v>
          </cell>
          <cell r="AS4">
            <v>165.55</v>
          </cell>
          <cell r="AT4">
            <v>179.48</v>
          </cell>
          <cell r="AU4">
            <v>163.1</v>
          </cell>
          <cell r="AV4">
            <v>168</v>
          </cell>
          <cell r="AW4">
            <v>162.5</v>
          </cell>
          <cell r="AX4">
            <v>159</v>
          </cell>
          <cell r="BB4" t="str">
            <v>ตค.</v>
          </cell>
          <cell r="BC4" t="e">
            <v>#REF!</v>
          </cell>
          <cell r="BE4">
            <v>154.36000000000001</v>
          </cell>
          <cell r="BF4">
            <v>145.94</v>
          </cell>
          <cell r="BG4">
            <v>154.94999999999999</v>
          </cell>
          <cell r="BH4">
            <v>142.94999999999999</v>
          </cell>
          <cell r="BI4">
            <v>147</v>
          </cell>
          <cell r="BK4">
            <v>135</v>
          </cell>
          <cell r="BO4" t="str">
            <v>ตค.</v>
          </cell>
          <cell r="BP4" t="e">
            <v>#REF!</v>
          </cell>
          <cell r="BR4">
            <v>98.58</v>
          </cell>
          <cell r="BS4">
            <v>91.5</v>
          </cell>
          <cell r="BT4">
            <v>98.49</v>
          </cell>
          <cell r="BV4">
            <v>75</v>
          </cell>
          <cell r="BW4">
            <v>94</v>
          </cell>
          <cell r="CC4" t="str">
            <v>ตค.</v>
          </cell>
          <cell r="CD4">
            <v>204.14</v>
          </cell>
          <cell r="CF4">
            <v>203.29</v>
          </cell>
          <cell r="CG4">
            <v>204.72</v>
          </cell>
          <cell r="CH4">
            <v>204.6</v>
          </cell>
          <cell r="CL4">
            <v>197</v>
          </cell>
          <cell r="CP4" t="str">
            <v>ตค.</v>
          </cell>
          <cell r="CQ4">
            <v>181.06</v>
          </cell>
          <cell r="CS4">
            <v>178.73</v>
          </cell>
          <cell r="CT4">
            <v>174.77</v>
          </cell>
          <cell r="CU4">
            <v>181</v>
          </cell>
          <cell r="CV4">
            <v>181.12</v>
          </cell>
          <cell r="CX4">
            <v>0</v>
          </cell>
          <cell r="CY4">
            <v>174.2</v>
          </cell>
          <cell r="DD4" t="str">
            <v>ตค.</v>
          </cell>
          <cell r="DE4">
            <v>141.27000000000001</v>
          </cell>
          <cell r="DG4">
            <v>141.44999999999999</v>
          </cell>
          <cell r="DH4">
            <v>140.13</v>
          </cell>
          <cell r="DI4">
            <v>142.19999999999999</v>
          </cell>
          <cell r="DK4">
            <v>139.19999999999999</v>
          </cell>
          <cell r="DL4">
            <v>141.87</v>
          </cell>
          <cell r="DM4">
            <v>137.19999999999999</v>
          </cell>
          <cell r="DQ4" t="str">
            <v>ตค.</v>
          </cell>
          <cell r="DR4">
            <v>757.43</v>
          </cell>
          <cell r="DT4">
            <v>756.27</v>
          </cell>
          <cell r="DU4">
            <v>746.28</v>
          </cell>
          <cell r="DV4">
            <v>759</v>
          </cell>
          <cell r="DX4">
            <v>743.5</v>
          </cell>
          <cell r="DZ4">
            <v>739</v>
          </cell>
          <cell r="EG4" t="str">
            <v>ตค.</v>
          </cell>
          <cell r="EH4">
            <v>283.58999999999997</v>
          </cell>
          <cell r="EJ4">
            <v>283.82</v>
          </cell>
          <cell r="EK4">
            <v>281.27</v>
          </cell>
          <cell r="EL4">
            <v>283.83</v>
          </cell>
          <cell r="EN4">
            <v>279.89999999999998</v>
          </cell>
          <cell r="EP4">
            <v>270</v>
          </cell>
          <cell r="ER4" t="str">
            <v>ตค.</v>
          </cell>
          <cell r="ES4">
            <v>80.22</v>
          </cell>
          <cell r="EU4">
            <v>77.62</v>
          </cell>
          <cell r="EV4">
            <v>72.22</v>
          </cell>
          <cell r="EW4">
            <v>93.65</v>
          </cell>
          <cell r="EX4">
            <v>87</v>
          </cell>
          <cell r="EY4">
            <v>76</v>
          </cell>
          <cell r="EZ4">
            <v>62</v>
          </cell>
          <cell r="FH4" t="str">
            <v>ตค.</v>
          </cell>
          <cell r="FI4">
            <v>106.01</v>
          </cell>
          <cell r="FK4">
            <v>100.75</v>
          </cell>
          <cell r="FL4">
            <v>99.55</v>
          </cell>
          <cell r="FM4">
            <v>96.84</v>
          </cell>
          <cell r="FN4">
            <v>107.75</v>
          </cell>
          <cell r="FO4">
            <v>101.5</v>
          </cell>
          <cell r="FP4">
            <v>83</v>
          </cell>
          <cell r="FQ4">
            <v>105.7</v>
          </cell>
        </row>
        <row r="5">
          <cell r="E5">
            <v>249.95</v>
          </cell>
          <cell r="F5">
            <v>222.22</v>
          </cell>
          <cell r="G5">
            <v>259.95</v>
          </cell>
          <cell r="H5">
            <v>244.5</v>
          </cell>
          <cell r="I5">
            <v>244.8</v>
          </cell>
          <cell r="J5">
            <v>239.8</v>
          </cell>
          <cell r="K5">
            <v>213</v>
          </cell>
          <cell r="N5" t="str">
            <v>พย.</v>
          </cell>
          <cell r="O5">
            <v>161.41</v>
          </cell>
          <cell r="Q5">
            <v>160.43</v>
          </cell>
          <cell r="R5">
            <v>135.28</v>
          </cell>
          <cell r="S5">
            <v>161.21</v>
          </cell>
          <cell r="T5">
            <v>151.69999999999999</v>
          </cell>
          <cell r="U5">
            <v>151.4</v>
          </cell>
          <cell r="AC5" t="str">
            <v>พย.</v>
          </cell>
          <cell r="AD5" t="e">
            <v>#REF!</v>
          </cell>
          <cell r="AF5">
            <v>393.06</v>
          </cell>
          <cell r="AG5">
            <v>380.07</v>
          </cell>
          <cell r="AH5">
            <v>396</v>
          </cell>
          <cell r="AK5">
            <v>365.1</v>
          </cell>
          <cell r="AO5" t="str">
            <v>พย.</v>
          </cell>
          <cell r="AP5" t="e">
            <v>#REF!</v>
          </cell>
          <cell r="AR5">
            <v>175.72</v>
          </cell>
          <cell r="AS5">
            <v>165.36</v>
          </cell>
          <cell r="AT5">
            <v>180</v>
          </cell>
          <cell r="AU5">
            <v>163.35</v>
          </cell>
          <cell r="AV5">
            <v>168</v>
          </cell>
          <cell r="AW5">
            <v>162.5</v>
          </cell>
          <cell r="AX5">
            <v>159</v>
          </cell>
          <cell r="BB5" t="str">
            <v>พย.</v>
          </cell>
          <cell r="BC5" t="e">
            <v>#REF!</v>
          </cell>
          <cell r="BE5">
            <v>152.04</v>
          </cell>
          <cell r="BF5">
            <v>145.37</v>
          </cell>
          <cell r="BG5">
            <v>155</v>
          </cell>
          <cell r="BH5">
            <v>143.1</v>
          </cell>
          <cell r="BI5">
            <v>147</v>
          </cell>
          <cell r="BK5">
            <v>135</v>
          </cell>
          <cell r="BO5" t="str">
            <v>พย.</v>
          </cell>
          <cell r="BP5" t="e">
            <v>#REF!</v>
          </cell>
          <cell r="BR5">
            <v>96.8</v>
          </cell>
          <cell r="BS5">
            <v>91.08</v>
          </cell>
          <cell r="BT5">
            <v>99</v>
          </cell>
          <cell r="BV5">
            <v>75</v>
          </cell>
          <cell r="BW5">
            <v>94</v>
          </cell>
          <cell r="CC5" t="str">
            <v>พย.</v>
          </cell>
          <cell r="CD5">
            <v>203.88</v>
          </cell>
          <cell r="CF5">
            <v>202.93</v>
          </cell>
          <cell r="CG5">
            <v>204.01</v>
          </cell>
          <cell r="CH5">
            <v>204.3</v>
          </cell>
          <cell r="CL5">
            <v>197</v>
          </cell>
          <cell r="CP5" t="str">
            <v>พย.</v>
          </cell>
          <cell r="CQ5">
            <v>180.83</v>
          </cell>
          <cell r="CS5">
            <v>178.51</v>
          </cell>
          <cell r="CT5">
            <v>174.57</v>
          </cell>
          <cell r="CU5">
            <v>180.8</v>
          </cell>
          <cell r="CV5">
            <v>180.38</v>
          </cell>
          <cell r="CX5">
            <v>0</v>
          </cell>
          <cell r="CY5">
            <v>174.2</v>
          </cell>
          <cell r="DD5" t="str">
            <v>พย.</v>
          </cell>
          <cell r="DE5">
            <v>141.01</v>
          </cell>
          <cell r="DG5">
            <v>141.22</v>
          </cell>
          <cell r="DH5">
            <v>139.97999999999999</v>
          </cell>
          <cell r="DI5">
            <v>141.9</v>
          </cell>
          <cell r="DK5">
            <v>139.19999999999999</v>
          </cell>
          <cell r="DL5">
            <v>141.71</v>
          </cell>
          <cell r="DM5">
            <v>137.19999999999999</v>
          </cell>
          <cell r="DQ5" t="str">
            <v>พย.</v>
          </cell>
          <cell r="DR5">
            <v>757.74</v>
          </cell>
          <cell r="DT5">
            <v>756.32</v>
          </cell>
          <cell r="DU5">
            <v>746.65</v>
          </cell>
          <cell r="DV5">
            <v>758.7</v>
          </cell>
          <cell r="DX5">
            <v>743.5</v>
          </cell>
          <cell r="DZ5">
            <v>739</v>
          </cell>
          <cell r="EG5" t="str">
            <v>พย.</v>
          </cell>
          <cell r="EH5">
            <v>283.31</v>
          </cell>
          <cell r="EJ5">
            <v>283.16000000000003</v>
          </cell>
          <cell r="EK5">
            <v>281.05</v>
          </cell>
          <cell r="EL5">
            <v>284</v>
          </cell>
          <cell r="EN5">
            <v>279.89999999999998</v>
          </cell>
          <cell r="EP5">
            <v>270</v>
          </cell>
          <cell r="ER5" t="str">
            <v>พย.</v>
          </cell>
          <cell r="ES5">
            <v>80.790000000000006</v>
          </cell>
          <cell r="EU5">
            <v>76.55</v>
          </cell>
          <cell r="EV5">
            <v>72.650000000000006</v>
          </cell>
          <cell r="EW5">
            <v>95</v>
          </cell>
          <cell r="EX5">
            <v>88.3</v>
          </cell>
          <cell r="EY5">
            <v>76</v>
          </cell>
          <cell r="EZ5">
            <v>62</v>
          </cell>
          <cell r="FH5" t="str">
            <v>พย.</v>
          </cell>
          <cell r="FI5">
            <v>107.41</v>
          </cell>
          <cell r="FK5">
            <v>106.92</v>
          </cell>
          <cell r="FL5">
            <v>105.64</v>
          </cell>
          <cell r="FM5">
            <v>101.29</v>
          </cell>
          <cell r="FN5">
            <v>109.4</v>
          </cell>
          <cell r="FO5">
            <v>103.3</v>
          </cell>
          <cell r="FP5">
            <v>83</v>
          </cell>
          <cell r="FQ5">
            <v>105.7</v>
          </cell>
        </row>
        <row r="6">
          <cell r="E6">
            <v>249.85</v>
          </cell>
          <cell r="F6">
            <v>221.97</v>
          </cell>
          <cell r="G6">
            <v>259.89</v>
          </cell>
          <cell r="H6">
            <v>244.6</v>
          </cell>
          <cell r="I6">
            <v>244.8</v>
          </cell>
          <cell r="J6">
            <v>239.8</v>
          </cell>
          <cell r="K6">
            <v>213</v>
          </cell>
          <cell r="N6" t="str">
            <v>ธค.</v>
          </cell>
          <cell r="O6">
            <v>161.41999999999999</v>
          </cell>
          <cell r="Q6">
            <v>159.69999999999999</v>
          </cell>
          <cell r="R6">
            <v>134.44</v>
          </cell>
          <cell r="S6">
            <v>159.9</v>
          </cell>
          <cell r="T6">
            <v>151.30000000000001</v>
          </cell>
          <cell r="U6">
            <v>151.4</v>
          </cell>
          <cell r="AC6" t="str">
            <v>ธค.</v>
          </cell>
          <cell r="AD6" t="e">
            <v>#REF!</v>
          </cell>
          <cell r="AF6">
            <v>390.4</v>
          </cell>
          <cell r="AG6">
            <v>379.88</v>
          </cell>
          <cell r="AH6">
            <v>395.8</v>
          </cell>
          <cell r="AK6">
            <v>365.1</v>
          </cell>
          <cell r="AO6" t="str">
            <v>ธค.</v>
          </cell>
          <cell r="AP6" t="e">
            <v>#REF!</v>
          </cell>
          <cell r="AR6">
            <v>175.08</v>
          </cell>
          <cell r="AS6">
            <v>165.15</v>
          </cell>
          <cell r="AT6">
            <v>179.79</v>
          </cell>
          <cell r="AU6">
            <v>163.19999999999999</v>
          </cell>
          <cell r="AV6">
            <v>168</v>
          </cell>
          <cell r="AW6">
            <v>162.5</v>
          </cell>
          <cell r="AX6">
            <v>159</v>
          </cell>
          <cell r="BB6" t="str">
            <v>ธค.</v>
          </cell>
          <cell r="BC6" t="e">
            <v>#REF!</v>
          </cell>
          <cell r="BE6">
            <v>150.05000000000001</v>
          </cell>
          <cell r="BF6">
            <v>144.83000000000001</v>
          </cell>
          <cell r="BG6">
            <v>155</v>
          </cell>
          <cell r="BH6">
            <v>143</v>
          </cell>
          <cell r="BI6">
            <v>147</v>
          </cell>
          <cell r="BK6">
            <v>135</v>
          </cell>
          <cell r="BO6" t="str">
            <v>ธค.</v>
          </cell>
          <cell r="BP6" t="e">
            <v>#REF!</v>
          </cell>
          <cell r="BR6">
            <v>96.16</v>
          </cell>
          <cell r="BS6">
            <v>90.41</v>
          </cell>
          <cell r="BT6">
            <v>98.35</v>
          </cell>
          <cell r="BV6">
            <v>75</v>
          </cell>
          <cell r="BW6">
            <v>94</v>
          </cell>
          <cell r="CC6" t="str">
            <v>ธค.</v>
          </cell>
          <cell r="CD6">
            <v>203.2</v>
          </cell>
          <cell r="CF6">
            <v>202.63</v>
          </cell>
          <cell r="CG6">
            <v>203.57</v>
          </cell>
          <cell r="CH6">
            <v>203.55</v>
          </cell>
          <cell r="CL6">
            <v>197</v>
          </cell>
          <cell r="CP6" t="str">
            <v>ธค.</v>
          </cell>
          <cell r="CQ6">
            <v>180.44</v>
          </cell>
          <cell r="CS6">
            <v>178.44</v>
          </cell>
          <cell r="CT6">
            <v>174.38</v>
          </cell>
          <cell r="CU6">
            <v>180.55</v>
          </cell>
          <cell r="CV6">
            <v>179.76</v>
          </cell>
          <cell r="CX6">
            <v>0</v>
          </cell>
          <cell r="CY6">
            <v>174.2</v>
          </cell>
          <cell r="DD6" t="str">
            <v>ธค.</v>
          </cell>
          <cell r="DE6">
            <v>140.63999999999999</v>
          </cell>
          <cell r="DG6">
            <v>140.71</v>
          </cell>
          <cell r="DH6">
            <v>139.72</v>
          </cell>
          <cell r="DI6">
            <v>141.53</v>
          </cell>
          <cell r="DK6">
            <v>139.19999999999999</v>
          </cell>
          <cell r="DL6">
            <v>141.30000000000001</v>
          </cell>
          <cell r="DM6">
            <v>137.19999999999999</v>
          </cell>
          <cell r="DQ6" t="str">
            <v>ธค.</v>
          </cell>
          <cell r="DR6">
            <v>757.59</v>
          </cell>
          <cell r="DT6">
            <v>756.19</v>
          </cell>
          <cell r="DU6">
            <v>745.34</v>
          </cell>
          <cell r="DV6">
            <v>758.01</v>
          </cell>
          <cell r="DX6">
            <v>743.5</v>
          </cell>
          <cell r="DZ6">
            <v>739</v>
          </cell>
          <cell r="EG6" t="str">
            <v>ธค.</v>
          </cell>
          <cell r="EH6">
            <v>282.99</v>
          </cell>
          <cell r="EJ6">
            <v>282.45</v>
          </cell>
          <cell r="EK6">
            <v>280.56</v>
          </cell>
          <cell r="EL6">
            <v>283.70999999999998</v>
          </cell>
          <cell r="EN6">
            <v>279.89999999999998</v>
          </cell>
          <cell r="EP6">
            <v>270</v>
          </cell>
          <cell r="ER6" t="str">
            <v>ธค.</v>
          </cell>
          <cell r="ES6">
            <v>80.72</v>
          </cell>
          <cell r="EU6">
            <v>75.680000000000007</v>
          </cell>
          <cell r="EV6">
            <v>73.209999999999994</v>
          </cell>
          <cell r="EW6">
            <v>94.25</v>
          </cell>
          <cell r="EX6">
            <v>88.1</v>
          </cell>
          <cell r="EY6">
            <v>76</v>
          </cell>
          <cell r="EZ6">
            <v>62</v>
          </cell>
          <cell r="FH6" t="str">
            <v>ธค.</v>
          </cell>
          <cell r="FI6">
            <v>109.71</v>
          </cell>
          <cell r="FK6">
            <v>108.36</v>
          </cell>
          <cell r="FL6">
            <v>115.05</v>
          </cell>
          <cell r="FM6">
            <v>103.07</v>
          </cell>
          <cell r="FN6">
            <v>112.5</v>
          </cell>
          <cell r="FO6">
            <v>104.5</v>
          </cell>
          <cell r="FP6">
            <v>83</v>
          </cell>
          <cell r="FQ6">
            <v>105.7</v>
          </cell>
        </row>
        <row r="7">
          <cell r="E7">
            <v>249.22</v>
          </cell>
          <cell r="F7">
            <v>221.1</v>
          </cell>
          <cell r="G7">
            <v>259.54000000000002</v>
          </cell>
          <cell r="H7">
            <v>244.2</v>
          </cell>
          <cell r="I7">
            <v>244.8</v>
          </cell>
          <cell r="J7">
            <v>239.8</v>
          </cell>
          <cell r="K7">
            <v>213</v>
          </cell>
          <cell r="N7" t="str">
            <v>มค.</v>
          </cell>
          <cell r="O7">
            <v>160.13</v>
          </cell>
          <cell r="Q7">
            <v>158.58000000000001</v>
          </cell>
          <cell r="R7">
            <v>133.6</v>
          </cell>
          <cell r="S7">
            <v>158.16</v>
          </cell>
          <cell r="T7">
            <v>151</v>
          </cell>
          <cell r="U7">
            <v>151.4</v>
          </cell>
          <cell r="AC7" t="str">
            <v>มค.</v>
          </cell>
          <cell r="AD7" t="e">
            <v>#REF!</v>
          </cell>
          <cell r="AF7">
            <v>388.4</v>
          </cell>
          <cell r="AG7">
            <v>377.15</v>
          </cell>
          <cell r="AH7">
            <v>392.3</v>
          </cell>
          <cell r="AK7">
            <v>365.1</v>
          </cell>
          <cell r="AO7" t="str">
            <v>มค.</v>
          </cell>
          <cell r="AP7" t="e">
            <v>#REF!</v>
          </cell>
          <cell r="AR7">
            <v>174.36</v>
          </cell>
          <cell r="AS7">
            <v>164.83</v>
          </cell>
          <cell r="AT7">
            <v>179.39</v>
          </cell>
          <cell r="AU7">
            <v>162.65</v>
          </cell>
          <cell r="AV7">
            <v>168</v>
          </cell>
          <cell r="AW7">
            <v>162.5</v>
          </cell>
          <cell r="AX7">
            <v>159</v>
          </cell>
          <cell r="BB7" t="str">
            <v>มค.</v>
          </cell>
          <cell r="BC7" t="e">
            <v>#REF!</v>
          </cell>
          <cell r="BE7">
            <v>148.75</v>
          </cell>
          <cell r="BF7">
            <v>144.06</v>
          </cell>
          <cell r="BG7">
            <v>154.08000000000001</v>
          </cell>
          <cell r="BH7">
            <v>142.19999999999999</v>
          </cell>
          <cell r="BI7">
            <v>147</v>
          </cell>
          <cell r="BK7">
            <v>135</v>
          </cell>
          <cell r="BO7" t="str">
            <v>มค.</v>
          </cell>
          <cell r="BP7" t="e">
            <v>#REF!</v>
          </cell>
          <cell r="BR7">
            <v>95.83</v>
          </cell>
          <cell r="BS7">
            <v>90.18</v>
          </cell>
          <cell r="BT7">
            <v>97.19</v>
          </cell>
          <cell r="BV7">
            <v>75</v>
          </cell>
          <cell r="BW7">
            <v>94</v>
          </cell>
          <cell r="CC7" t="str">
            <v>มค.</v>
          </cell>
          <cell r="CD7">
            <v>202.44</v>
          </cell>
          <cell r="CF7">
            <v>202.32</v>
          </cell>
          <cell r="CG7">
            <v>203.05</v>
          </cell>
          <cell r="CH7">
            <v>202.9</v>
          </cell>
          <cell r="CL7">
            <v>197</v>
          </cell>
          <cell r="CP7" t="str">
            <v>มค.</v>
          </cell>
          <cell r="CQ7">
            <v>180.03</v>
          </cell>
          <cell r="CS7">
            <v>178.07</v>
          </cell>
          <cell r="CT7">
            <v>174.16</v>
          </cell>
          <cell r="CU7">
            <v>180.2</v>
          </cell>
          <cell r="CV7">
            <v>179.25</v>
          </cell>
          <cell r="CX7">
            <v>0</v>
          </cell>
          <cell r="CY7">
            <v>174.2</v>
          </cell>
          <cell r="DD7" t="str">
            <v>มค.</v>
          </cell>
          <cell r="DE7">
            <v>140.19999999999999</v>
          </cell>
          <cell r="DG7">
            <v>140.32</v>
          </cell>
          <cell r="DH7">
            <v>139.49</v>
          </cell>
          <cell r="DI7">
            <v>141.13</v>
          </cell>
          <cell r="DK7">
            <v>139.19999999999999</v>
          </cell>
          <cell r="DL7">
            <v>140.9</v>
          </cell>
          <cell r="DM7">
            <v>137.19999999999999</v>
          </cell>
          <cell r="DQ7" t="str">
            <v>มค.</v>
          </cell>
          <cell r="DR7">
            <v>756.56</v>
          </cell>
          <cell r="DT7">
            <v>755.25</v>
          </cell>
          <cell r="DU7">
            <v>744.78</v>
          </cell>
          <cell r="DV7">
            <v>757.17</v>
          </cell>
          <cell r="DX7">
            <v>743.5</v>
          </cell>
          <cell r="DZ7">
            <v>739</v>
          </cell>
          <cell r="EG7" t="str">
            <v>มค.</v>
          </cell>
          <cell r="EH7">
            <v>282.64</v>
          </cell>
          <cell r="EJ7">
            <v>282.07</v>
          </cell>
          <cell r="EK7">
            <v>279.19</v>
          </cell>
          <cell r="EL7">
            <v>283.33</v>
          </cell>
          <cell r="EN7">
            <v>279.89999999999998</v>
          </cell>
          <cell r="EP7">
            <v>270</v>
          </cell>
          <cell r="ER7" t="str">
            <v>มค.</v>
          </cell>
          <cell r="ES7">
            <v>80.08</v>
          </cell>
          <cell r="EU7">
            <v>74.88</v>
          </cell>
          <cell r="EV7">
            <v>72.45</v>
          </cell>
          <cell r="EW7">
            <v>93.08</v>
          </cell>
          <cell r="EX7">
            <v>87</v>
          </cell>
          <cell r="EY7">
            <v>76</v>
          </cell>
          <cell r="EZ7">
            <v>62</v>
          </cell>
          <cell r="FH7" t="str">
            <v>มค.</v>
          </cell>
          <cell r="FI7">
            <v>110.33</v>
          </cell>
          <cell r="FK7">
            <v>109.12</v>
          </cell>
          <cell r="FL7">
            <v>113.88</v>
          </cell>
          <cell r="FM7">
            <v>103.34</v>
          </cell>
          <cell r="FN7">
            <v>115</v>
          </cell>
          <cell r="FO7">
            <v>105.75</v>
          </cell>
          <cell r="FP7">
            <v>83</v>
          </cell>
          <cell r="FQ7">
            <v>105.7</v>
          </cell>
        </row>
        <row r="8">
          <cell r="E8">
            <v>247.45</v>
          </cell>
          <cell r="F8">
            <v>219.59</v>
          </cell>
          <cell r="G8">
            <v>259.01</v>
          </cell>
          <cell r="H8">
            <v>244</v>
          </cell>
          <cell r="I8">
            <v>244.8</v>
          </cell>
          <cell r="J8">
            <v>239.8</v>
          </cell>
          <cell r="K8">
            <v>213</v>
          </cell>
          <cell r="N8" t="str">
            <v>กพ.</v>
          </cell>
          <cell r="O8">
            <v>157.16</v>
          </cell>
          <cell r="Q8">
            <v>156.19999999999999</v>
          </cell>
          <cell r="R8">
            <v>132.21</v>
          </cell>
          <cell r="S8">
            <v>156.51</v>
          </cell>
          <cell r="T8">
            <v>150</v>
          </cell>
          <cell r="U8">
            <v>151.4</v>
          </cell>
          <cell r="AC8" t="str">
            <v>กพ.</v>
          </cell>
          <cell r="AD8" t="e">
            <v>#REF!</v>
          </cell>
          <cell r="AF8">
            <v>387.84</v>
          </cell>
          <cell r="AG8">
            <v>373.88</v>
          </cell>
          <cell r="AH8">
            <v>388.4</v>
          </cell>
          <cell r="AK8">
            <v>365.1</v>
          </cell>
          <cell r="AO8" t="str">
            <v>กพ.</v>
          </cell>
          <cell r="AP8" t="e">
            <v>#REF!</v>
          </cell>
          <cell r="AR8">
            <v>173.34</v>
          </cell>
          <cell r="AS8">
            <v>164.15</v>
          </cell>
          <cell r="AT8">
            <v>178.62</v>
          </cell>
          <cell r="AU8">
            <v>162</v>
          </cell>
          <cell r="AV8">
            <v>168</v>
          </cell>
          <cell r="AW8">
            <v>162.5</v>
          </cell>
          <cell r="AX8">
            <v>159</v>
          </cell>
          <cell r="BB8" t="str">
            <v>กพ.</v>
          </cell>
          <cell r="BC8" t="e">
            <v>#REF!</v>
          </cell>
          <cell r="BE8">
            <v>147.4</v>
          </cell>
          <cell r="BF8">
            <v>142.58000000000001</v>
          </cell>
          <cell r="BG8">
            <v>153.1</v>
          </cell>
          <cell r="BH8">
            <v>141.19999999999999</v>
          </cell>
          <cell r="BI8">
            <v>147</v>
          </cell>
          <cell r="BK8">
            <v>135</v>
          </cell>
          <cell r="BO8" t="str">
            <v>กพ.</v>
          </cell>
          <cell r="BP8" t="e">
            <v>#REF!</v>
          </cell>
          <cell r="BR8">
            <v>95.17</v>
          </cell>
          <cell r="BS8">
            <v>89.66</v>
          </cell>
          <cell r="BT8">
            <v>95.84</v>
          </cell>
          <cell r="BV8">
            <v>75</v>
          </cell>
          <cell r="BW8">
            <v>94</v>
          </cell>
          <cell r="CC8" t="str">
            <v>กพ.</v>
          </cell>
          <cell r="CD8">
            <v>201.82</v>
          </cell>
          <cell r="CF8">
            <v>202.01</v>
          </cell>
          <cell r="CG8">
            <v>202.42</v>
          </cell>
          <cell r="CH8">
            <v>202.28</v>
          </cell>
          <cell r="CL8">
            <v>197</v>
          </cell>
          <cell r="CP8" t="str">
            <v>กพ.</v>
          </cell>
          <cell r="CQ8">
            <v>179.61</v>
          </cell>
          <cell r="CS8">
            <v>177.83</v>
          </cell>
          <cell r="CT8">
            <v>173.96</v>
          </cell>
          <cell r="CU8">
            <v>179.8</v>
          </cell>
          <cell r="CV8">
            <v>178.68</v>
          </cell>
          <cell r="CX8">
            <v>0</v>
          </cell>
          <cell r="CY8">
            <v>174.2</v>
          </cell>
          <cell r="DD8" t="str">
            <v>กพ.</v>
          </cell>
          <cell r="DE8">
            <v>139.76</v>
          </cell>
          <cell r="DG8">
            <v>139.9</v>
          </cell>
          <cell r="DH8">
            <v>139.19</v>
          </cell>
          <cell r="DI8">
            <v>140.75</v>
          </cell>
          <cell r="DK8">
            <v>139.19999999999999</v>
          </cell>
          <cell r="DL8">
            <v>140.41</v>
          </cell>
          <cell r="DM8">
            <v>137.19999999999999</v>
          </cell>
          <cell r="DQ8" t="str">
            <v>กพ.</v>
          </cell>
          <cell r="DR8">
            <v>754.77</v>
          </cell>
          <cell r="DT8">
            <v>753.14</v>
          </cell>
          <cell r="DU8">
            <v>744.36</v>
          </cell>
          <cell r="DV8">
            <v>756.34</v>
          </cell>
          <cell r="DX8">
            <v>743.5</v>
          </cell>
          <cell r="DZ8">
            <v>739</v>
          </cell>
          <cell r="EG8" t="str">
            <v>กพ.</v>
          </cell>
          <cell r="EH8">
            <v>282.26</v>
          </cell>
          <cell r="EJ8">
            <v>281.72000000000003</v>
          </cell>
          <cell r="EK8">
            <v>279.42</v>
          </cell>
          <cell r="EL8">
            <v>282.89999999999998</v>
          </cell>
          <cell r="EN8">
            <v>279.89999999999998</v>
          </cell>
          <cell r="EP8">
            <v>270</v>
          </cell>
          <cell r="ER8" t="str">
            <v>กพ.</v>
          </cell>
          <cell r="ES8">
            <v>79.599999999999994</v>
          </cell>
          <cell r="EU8">
            <v>73.63</v>
          </cell>
          <cell r="EV8">
            <v>71.09</v>
          </cell>
          <cell r="EW8">
            <v>91.44</v>
          </cell>
          <cell r="EX8">
            <v>85</v>
          </cell>
          <cell r="EY8">
            <v>76</v>
          </cell>
          <cell r="EZ8">
            <v>62</v>
          </cell>
          <cell r="FH8" t="str">
            <v>กพ.</v>
          </cell>
          <cell r="FI8">
            <v>109.24</v>
          </cell>
          <cell r="FK8">
            <v>108.32</v>
          </cell>
          <cell r="FL8">
            <v>112.44</v>
          </cell>
          <cell r="FM8">
            <v>102.23</v>
          </cell>
          <cell r="FN8">
            <v>115</v>
          </cell>
          <cell r="FO8">
            <v>105.8</v>
          </cell>
          <cell r="FP8">
            <v>83</v>
          </cell>
          <cell r="FQ8">
            <v>105.7</v>
          </cell>
        </row>
        <row r="9">
          <cell r="E9">
            <v>244.25</v>
          </cell>
          <cell r="F9">
            <v>218.07</v>
          </cell>
          <cell r="G9">
            <v>258.08</v>
          </cell>
          <cell r="H9">
            <v>243.3</v>
          </cell>
          <cell r="I9">
            <v>244.8</v>
          </cell>
          <cell r="J9">
            <v>239.8</v>
          </cell>
          <cell r="K9">
            <v>213</v>
          </cell>
          <cell r="N9" t="str">
            <v>มีค.</v>
          </cell>
          <cell r="O9">
            <v>152.86000000000001</v>
          </cell>
          <cell r="Q9">
            <v>152.75</v>
          </cell>
          <cell r="R9">
            <v>130.69999999999999</v>
          </cell>
          <cell r="S9">
            <v>154.58000000000001</v>
          </cell>
          <cell r="T9">
            <v>148</v>
          </cell>
          <cell r="U9">
            <v>151.4</v>
          </cell>
          <cell r="AC9" t="str">
            <v>มีค.</v>
          </cell>
          <cell r="AD9" t="e">
            <v>#REF!</v>
          </cell>
          <cell r="AF9">
            <v>386.1</v>
          </cell>
          <cell r="AG9">
            <v>373.4</v>
          </cell>
          <cell r="AH9">
            <v>384.08</v>
          </cell>
          <cell r="AK9">
            <v>365.1</v>
          </cell>
          <cell r="AO9" t="str">
            <v>มีค.</v>
          </cell>
          <cell r="AP9" t="e">
            <v>#REF!</v>
          </cell>
          <cell r="AR9">
            <v>171.84</v>
          </cell>
          <cell r="AS9">
            <v>163.41999999999999</v>
          </cell>
          <cell r="AT9">
            <v>177.63</v>
          </cell>
          <cell r="AU9">
            <v>161.1</v>
          </cell>
          <cell r="AV9">
            <v>168</v>
          </cell>
          <cell r="AW9">
            <v>162.5</v>
          </cell>
          <cell r="AX9">
            <v>159</v>
          </cell>
          <cell r="BB9" t="str">
            <v>มีค.</v>
          </cell>
          <cell r="BC9" t="e">
            <v>#REF!</v>
          </cell>
          <cell r="BE9">
            <v>145.44999999999999</v>
          </cell>
          <cell r="BF9">
            <v>140.41</v>
          </cell>
          <cell r="BG9">
            <v>151.99</v>
          </cell>
          <cell r="BH9">
            <v>140.19999999999999</v>
          </cell>
          <cell r="BI9">
            <v>147</v>
          </cell>
          <cell r="BK9">
            <v>135</v>
          </cell>
          <cell r="BO9" t="str">
            <v>มีค.</v>
          </cell>
          <cell r="BP9" t="e">
            <v>#REF!</v>
          </cell>
          <cell r="BR9">
            <v>94.27</v>
          </cell>
          <cell r="BS9">
            <v>89.29</v>
          </cell>
          <cell r="BT9">
            <v>93.97</v>
          </cell>
          <cell r="BV9">
            <v>75</v>
          </cell>
          <cell r="BW9">
            <v>94</v>
          </cell>
          <cell r="CC9" t="str">
            <v>มีค.</v>
          </cell>
          <cell r="CD9">
            <v>200.94</v>
          </cell>
          <cell r="CF9">
            <v>201.59</v>
          </cell>
          <cell r="CG9">
            <v>201.93</v>
          </cell>
          <cell r="CH9">
            <v>201.51</v>
          </cell>
          <cell r="CL9">
            <v>197</v>
          </cell>
          <cell r="CP9" t="str">
            <v>มีค.</v>
          </cell>
          <cell r="CQ9">
            <v>179.04</v>
          </cell>
          <cell r="CS9">
            <v>177.53</v>
          </cell>
          <cell r="CT9">
            <v>173.78</v>
          </cell>
          <cell r="CU9">
            <v>179.4</v>
          </cell>
          <cell r="CV9">
            <v>177.94</v>
          </cell>
          <cell r="CX9">
            <v>0</v>
          </cell>
          <cell r="CY9">
            <v>174.2</v>
          </cell>
          <cell r="DD9" t="str">
            <v>มีค.</v>
          </cell>
          <cell r="DE9">
            <v>139.30000000000001</v>
          </cell>
          <cell r="DG9">
            <v>139.16999999999999</v>
          </cell>
          <cell r="DH9">
            <v>138.79</v>
          </cell>
          <cell r="DI9">
            <v>140.31</v>
          </cell>
          <cell r="DK9">
            <v>139.19999999999999</v>
          </cell>
          <cell r="DL9">
            <v>139.85</v>
          </cell>
          <cell r="DM9">
            <v>137.19999999999999</v>
          </cell>
          <cell r="DQ9" t="str">
            <v>มีค.</v>
          </cell>
          <cell r="DR9">
            <v>752.97</v>
          </cell>
          <cell r="DT9">
            <v>751.53</v>
          </cell>
          <cell r="DU9">
            <v>741.75</v>
          </cell>
          <cell r="DV9">
            <v>755.45</v>
          </cell>
          <cell r="DX9">
            <v>743.5</v>
          </cell>
          <cell r="DZ9">
            <v>739</v>
          </cell>
          <cell r="EG9" t="str">
            <v>มีค.</v>
          </cell>
          <cell r="EH9">
            <v>281.76</v>
          </cell>
          <cell r="EJ9">
            <v>281.22000000000003</v>
          </cell>
          <cell r="EK9">
            <v>279.12</v>
          </cell>
          <cell r="EL9">
            <v>282.45999999999998</v>
          </cell>
          <cell r="EN9">
            <v>279.89999999999998</v>
          </cell>
          <cell r="EP9">
            <v>270</v>
          </cell>
          <cell r="ER9" t="str">
            <v>มีค.</v>
          </cell>
          <cell r="ES9">
            <v>79.069999999999993</v>
          </cell>
          <cell r="EU9">
            <v>71.64</v>
          </cell>
          <cell r="EV9">
            <v>69.98</v>
          </cell>
          <cell r="EW9">
            <v>89.6</v>
          </cell>
          <cell r="EX9">
            <v>82.7</v>
          </cell>
          <cell r="EY9">
            <v>76</v>
          </cell>
          <cell r="EZ9">
            <v>62</v>
          </cell>
          <cell r="FH9" t="str">
            <v>มีค.</v>
          </cell>
          <cell r="FI9">
            <v>108.73</v>
          </cell>
          <cell r="FK9">
            <v>107.41</v>
          </cell>
          <cell r="FL9">
            <v>112.09</v>
          </cell>
          <cell r="FM9">
            <v>100.98</v>
          </cell>
          <cell r="FN9">
            <v>115</v>
          </cell>
          <cell r="FO9">
            <v>105.8</v>
          </cell>
          <cell r="FP9">
            <v>83</v>
          </cell>
          <cell r="FQ9">
            <v>105.7</v>
          </cell>
        </row>
        <row r="10">
          <cell r="E10">
            <v>241.31</v>
          </cell>
          <cell r="F10">
            <v>217.19</v>
          </cell>
          <cell r="G10">
            <v>256.8</v>
          </cell>
          <cell r="H10">
            <v>242.1</v>
          </cell>
          <cell r="I10">
            <v>244.8</v>
          </cell>
          <cell r="J10">
            <v>239.8</v>
          </cell>
          <cell r="K10">
            <v>213</v>
          </cell>
          <cell r="N10" t="str">
            <v>เมย.</v>
          </cell>
          <cell r="O10">
            <v>148.77000000000001</v>
          </cell>
          <cell r="Q10">
            <v>149.44999999999999</v>
          </cell>
          <cell r="R10">
            <v>129.97</v>
          </cell>
          <cell r="S10">
            <v>152.66999999999999</v>
          </cell>
          <cell r="T10">
            <v>146</v>
          </cell>
          <cell r="U10">
            <v>151.4</v>
          </cell>
          <cell r="AC10" t="str">
            <v>เมย.</v>
          </cell>
          <cell r="AD10" t="e">
            <v>#REF!</v>
          </cell>
          <cell r="AF10">
            <v>383.07</v>
          </cell>
          <cell r="AG10">
            <v>372.85</v>
          </cell>
          <cell r="AH10">
            <v>382.18</v>
          </cell>
          <cell r="AK10">
            <v>365.1</v>
          </cell>
          <cell r="AO10" t="str">
            <v>เมย.</v>
          </cell>
          <cell r="AP10" t="e">
            <v>#REF!</v>
          </cell>
          <cell r="AR10">
            <v>170.66</v>
          </cell>
          <cell r="AS10">
            <v>162.54</v>
          </cell>
          <cell r="AT10">
            <v>176.59</v>
          </cell>
          <cell r="AU10">
            <v>160.19999999999999</v>
          </cell>
          <cell r="AV10">
            <v>168</v>
          </cell>
          <cell r="AW10">
            <v>162.5</v>
          </cell>
          <cell r="AX10">
            <v>159</v>
          </cell>
          <cell r="BB10" t="str">
            <v>เมย.</v>
          </cell>
          <cell r="BC10" t="e">
            <v>#REF!</v>
          </cell>
          <cell r="BE10">
            <v>143.55000000000001</v>
          </cell>
          <cell r="BF10">
            <v>138.55000000000001</v>
          </cell>
          <cell r="BG10">
            <v>150.97999999999999</v>
          </cell>
          <cell r="BH10">
            <v>138.5</v>
          </cell>
          <cell r="BI10">
            <v>147</v>
          </cell>
          <cell r="BK10">
            <v>135</v>
          </cell>
          <cell r="BO10" t="str">
            <v>เมย.</v>
          </cell>
          <cell r="BP10" t="e">
            <v>#REF!</v>
          </cell>
          <cell r="BR10">
            <v>93.42</v>
          </cell>
          <cell r="BS10">
            <v>88.9</v>
          </cell>
          <cell r="BT10">
            <v>92.28</v>
          </cell>
          <cell r="BV10">
            <v>75</v>
          </cell>
          <cell r="BW10">
            <v>94</v>
          </cell>
          <cell r="CC10" t="str">
            <v>เมย.</v>
          </cell>
          <cell r="CD10">
            <v>199.97</v>
          </cell>
          <cell r="CF10">
            <v>200.97</v>
          </cell>
          <cell r="CG10">
            <v>201.13</v>
          </cell>
          <cell r="CH10">
            <v>200.44</v>
          </cell>
          <cell r="CL10">
            <v>197</v>
          </cell>
          <cell r="CP10" t="str">
            <v>เมย.</v>
          </cell>
          <cell r="CQ10">
            <v>178.43</v>
          </cell>
          <cell r="CS10">
            <v>177.33</v>
          </cell>
          <cell r="CT10">
            <v>173.53</v>
          </cell>
          <cell r="CU10">
            <v>179</v>
          </cell>
          <cell r="CV10">
            <v>177.22</v>
          </cell>
          <cell r="CX10">
            <v>0</v>
          </cell>
          <cell r="CY10">
            <v>174.2</v>
          </cell>
          <cell r="DD10" t="str">
            <v>เมย.</v>
          </cell>
          <cell r="DE10">
            <v>138.85</v>
          </cell>
          <cell r="DG10">
            <v>138.68</v>
          </cell>
          <cell r="DH10">
            <v>138.30000000000001</v>
          </cell>
          <cell r="DI10">
            <v>139.83000000000001</v>
          </cell>
          <cell r="DK10">
            <v>139.19999999999999</v>
          </cell>
          <cell r="DL10">
            <v>139.07</v>
          </cell>
          <cell r="DM10">
            <v>137.19999999999999</v>
          </cell>
          <cell r="DQ10" t="str">
            <v>เมย.</v>
          </cell>
          <cell r="DR10">
            <v>752.14</v>
          </cell>
          <cell r="DT10">
            <v>751.1</v>
          </cell>
          <cell r="DU10">
            <v>742.09</v>
          </cell>
          <cell r="DV10">
            <v>754.5</v>
          </cell>
          <cell r="DX10">
            <v>743.5</v>
          </cell>
          <cell r="DZ10">
            <v>739</v>
          </cell>
          <cell r="EG10" t="str">
            <v>เมย.</v>
          </cell>
          <cell r="EH10">
            <v>281.27</v>
          </cell>
          <cell r="EJ10">
            <v>280.83999999999997</v>
          </cell>
          <cell r="EK10">
            <v>278.8</v>
          </cell>
          <cell r="EL10">
            <v>281.93</v>
          </cell>
          <cell r="EN10">
            <v>279.89999999999998</v>
          </cell>
          <cell r="EP10">
            <v>270</v>
          </cell>
          <cell r="ER10" t="str">
            <v>เมย.</v>
          </cell>
          <cell r="ES10">
            <v>78.569999999999993</v>
          </cell>
          <cell r="EU10">
            <v>70.37</v>
          </cell>
          <cell r="EV10">
            <v>68.55</v>
          </cell>
          <cell r="EW10">
            <v>88.35</v>
          </cell>
          <cell r="EX10">
            <v>80.599999999999994</v>
          </cell>
          <cell r="EY10">
            <v>76</v>
          </cell>
          <cell r="EZ10">
            <v>62</v>
          </cell>
          <cell r="FH10" t="str">
            <v>เมย.</v>
          </cell>
          <cell r="FI10">
            <v>107.33</v>
          </cell>
          <cell r="FK10">
            <v>106.29</v>
          </cell>
          <cell r="FL10">
            <v>111.46</v>
          </cell>
          <cell r="FM10">
            <v>99.98</v>
          </cell>
          <cell r="FN10">
            <v>114.09</v>
          </cell>
          <cell r="FO10">
            <v>105.8</v>
          </cell>
          <cell r="FP10">
            <v>83</v>
          </cell>
          <cell r="FQ10">
            <v>105.7</v>
          </cell>
        </row>
        <row r="11">
          <cell r="E11">
            <v>239.5</v>
          </cell>
          <cell r="F11">
            <v>217.8</v>
          </cell>
          <cell r="G11">
            <v>253.93</v>
          </cell>
          <cell r="H11">
            <v>240.2</v>
          </cell>
          <cell r="I11">
            <v>244.8</v>
          </cell>
          <cell r="J11">
            <v>239.8</v>
          </cell>
          <cell r="K11">
            <v>213</v>
          </cell>
          <cell r="N11" t="str">
            <v>พค.</v>
          </cell>
          <cell r="O11">
            <v>145.44</v>
          </cell>
          <cell r="Q11">
            <v>147.08000000000001</v>
          </cell>
          <cell r="R11">
            <v>130.66999999999999</v>
          </cell>
          <cell r="S11">
            <v>151.09</v>
          </cell>
          <cell r="T11">
            <v>144</v>
          </cell>
          <cell r="U11">
            <v>151.4</v>
          </cell>
          <cell r="AC11" t="str">
            <v>พค.</v>
          </cell>
          <cell r="AD11" t="e">
            <v>#REF!</v>
          </cell>
          <cell r="AF11">
            <v>382.2</v>
          </cell>
          <cell r="AG11">
            <v>375.51</v>
          </cell>
          <cell r="AH11">
            <v>381.03</v>
          </cell>
          <cell r="AK11">
            <v>365.1</v>
          </cell>
          <cell r="AO11" t="str">
            <v>พค.</v>
          </cell>
          <cell r="AP11" t="e">
            <v>#REF!</v>
          </cell>
          <cell r="AR11">
            <v>169.12</v>
          </cell>
          <cell r="AS11">
            <v>162.24</v>
          </cell>
          <cell r="AT11">
            <v>175.67</v>
          </cell>
          <cell r="AU11">
            <v>159.6</v>
          </cell>
          <cell r="AV11">
            <v>168</v>
          </cell>
          <cell r="AW11">
            <v>162.5</v>
          </cell>
          <cell r="AX11">
            <v>159</v>
          </cell>
          <cell r="BB11" t="str">
            <v>พค.</v>
          </cell>
          <cell r="BC11" t="e">
            <v>#REF!</v>
          </cell>
          <cell r="BE11">
            <v>141.88999999999999</v>
          </cell>
          <cell r="BF11">
            <v>137.12</v>
          </cell>
          <cell r="BG11">
            <v>150</v>
          </cell>
          <cell r="BH11">
            <v>137</v>
          </cell>
          <cell r="BI11">
            <v>147</v>
          </cell>
          <cell r="BK11">
            <v>135</v>
          </cell>
          <cell r="BO11" t="str">
            <v>พค.</v>
          </cell>
          <cell r="BP11" t="e">
            <v>#REF!</v>
          </cell>
          <cell r="BR11">
            <v>92.74</v>
          </cell>
          <cell r="BS11">
            <v>88.92</v>
          </cell>
          <cell r="BT11">
            <v>90.5</v>
          </cell>
          <cell r="BV11">
            <v>75</v>
          </cell>
          <cell r="BW11">
            <v>94</v>
          </cell>
          <cell r="CC11" t="str">
            <v>พค.</v>
          </cell>
          <cell r="CD11">
            <v>199.42</v>
          </cell>
          <cell r="CF11">
            <v>200.74</v>
          </cell>
          <cell r="CG11">
            <v>200.88</v>
          </cell>
          <cell r="CH11">
            <v>200.02</v>
          </cell>
          <cell r="CL11">
            <v>197</v>
          </cell>
          <cell r="CP11" t="str">
            <v>พค.</v>
          </cell>
          <cell r="CQ11">
            <v>177.89</v>
          </cell>
          <cell r="CS11">
            <v>177.27</v>
          </cell>
          <cell r="CT11">
            <v>173.92</v>
          </cell>
          <cell r="CU11">
            <v>178.25</v>
          </cell>
          <cell r="CV11">
            <v>176.8</v>
          </cell>
          <cell r="CX11">
            <v>0</v>
          </cell>
          <cell r="CY11">
            <v>174.2</v>
          </cell>
          <cell r="DD11" t="str">
            <v>พค.</v>
          </cell>
          <cell r="DE11">
            <v>138.66</v>
          </cell>
          <cell r="DG11">
            <v>138.5</v>
          </cell>
          <cell r="DH11">
            <v>138.26</v>
          </cell>
          <cell r="DI11">
            <v>139.4</v>
          </cell>
          <cell r="DK11">
            <v>139.19999999999999</v>
          </cell>
          <cell r="DL11">
            <v>138.31</v>
          </cell>
          <cell r="DM11">
            <v>137.19999999999999</v>
          </cell>
          <cell r="DQ11" t="str">
            <v>พค.</v>
          </cell>
          <cell r="DR11">
            <v>752.38</v>
          </cell>
          <cell r="DT11">
            <v>751.43</v>
          </cell>
          <cell r="DU11">
            <v>744.54</v>
          </cell>
          <cell r="DV11">
            <v>753.83</v>
          </cell>
          <cell r="DX11">
            <v>743.5</v>
          </cell>
          <cell r="DZ11">
            <v>739</v>
          </cell>
          <cell r="EG11" t="str">
            <v>พค.</v>
          </cell>
          <cell r="EH11">
            <v>280.82</v>
          </cell>
          <cell r="EJ11">
            <v>280.66000000000003</v>
          </cell>
          <cell r="EK11">
            <v>278.2</v>
          </cell>
          <cell r="EL11">
            <v>281.5</v>
          </cell>
          <cell r="EN11">
            <v>279.89999999999998</v>
          </cell>
          <cell r="EP11">
            <v>270</v>
          </cell>
          <cell r="ER11" t="str">
            <v>พค.</v>
          </cell>
          <cell r="ES11">
            <v>77.83</v>
          </cell>
          <cell r="EU11">
            <v>68.88</v>
          </cell>
          <cell r="EV11">
            <v>67.56</v>
          </cell>
          <cell r="EW11">
            <v>87.72</v>
          </cell>
          <cell r="EX11">
            <v>79.25</v>
          </cell>
          <cell r="EY11">
            <v>76</v>
          </cell>
          <cell r="EZ11">
            <v>62</v>
          </cell>
          <cell r="FH11" t="str">
            <v>พค.</v>
          </cell>
          <cell r="FI11">
            <v>105.99</v>
          </cell>
          <cell r="FK11">
            <v>104.75</v>
          </cell>
          <cell r="FL11">
            <v>109.55</v>
          </cell>
          <cell r="FM11">
            <v>98.99</v>
          </cell>
          <cell r="FN11">
            <v>112.83</v>
          </cell>
          <cell r="FO11">
            <v>105.2</v>
          </cell>
          <cell r="FP11">
            <v>83</v>
          </cell>
          <cell r="FQ11">
            <v>105.7</v>
          </cell>
        </row>
        <row r="12">
          <cell r="E12">
            <v>237.2</v>
          </cell>
          <cell r="F12">
            <v>220.88</v>
          </cell>
          <cell r="G12">
            <v>251.3</v>
          </cell>
          <cell r="H12">
            <v>238.1</v>
          </cell>
          <cell r="I12">
            <v>244.8</v>
          </cell>
          <cell r="J12">
            <v>239.8</v>
          </cell>
          <cell r="K12">
            <v>213</v>
          </cell>
          <cell r="N12" t="str">
            <v>มิย.</v>
          </cell>
          <cell r="O12">
            <v>142.22999999999999</v>
          </cell>
          <cell r="Q12">
            <v>145.68</v>
          </cell>
          <cell r="R12">
            <v>133.28</v>
          </cell>
          <cell r="S12">
            <v>150.35</v>
          </cell>
          <cell r="T12">
            <v>142</v>
          </cell>
          <cell r="U12">
            <v>151.4</v>
          </cell>
          <cell r="AC12" t="str">
            <v>มิย.</v>
          </cell>
          <cell r="AD12" t="e">
            <v>#REF!</v>
          </cell>
          <cell r="AF12">
            <v>380.39</v>
          </cell>
          <cell r="AG12">
            <v>380.88</v>
          </cell>
          <cell r="AH12">
            <v>380</v>
          </cell>
          <cell r="AK12">
            <v>365.1</v>
          </cell>
          <cell r="AO12" t="str">
            <v>มิย.</v>
          </cell>
          <cell r="AP12" t="e">
            <v>#REF!</v>
          </cell>
          <cell r="AR12">
            <v>167.74</v>
          </cell>
          <cell r="AS12">
            <v>162.63999999999999</v>
          </cell>
          <cell r="AT12">
            <v>175.15</v>
          </cell>
          <cell r="AU12">
            <v>158.9</v>
          </cell>
          <cell r="AV12">
            <v>168</v>
          </cell>
          <cell r="AW12">
            <v>162.5</v>
          </cell>
          <cell r="AX12">
            <v>159</v>
          </cell>
          <cell r="BB12" t="str">
            <v>มิย.</v>
          </cell>
          <cell r="BC12" t="e">
            <v>#REF!</v>
          </cell>
          <cell r="BE12">
            <v>141.79</v>
          </cell>
          <cell r="BF12">
            <v>138.19999999999999</v>
          </cell>
          <cell r="BG12">
            <v>150.12</v>
          </cell>
          <cell r="BH12">
            <v>137</v>
          </cell>
          <cell r="BI12">
            <v>147</v>
          </cell>
          <cell r="BK12">
            <v>135</v>
          </cell>
          <cell r="BO12" t="str">
            <v>มิย.</v>
          </cell>
          <cell r="BP12" t="e">
            <v>#REF!</v>
          </cell>
          <cell r="BR12">
            <v>92.77</v>
          </cell>
          <cell r="BS12">
            <v>89.77</v>
          </cell>
          <cell r="BT12">
            <v>89.67</v>
          </cell>
          <cell r="BV12">
            <v>75</v>
          </cell>
          <cell r="BW12">
            <v>94</v>
          </cell>
          <cell r="CC12" t="str">
            <v>มิย.</v>
          </cell>
          <cell r="CD12">
            <v>200.32</v>
          </cell>
          <cell r="CF12">
            <v>200.58</v>
          </cell>
          <cell r="CG12">
            <v>202.18</v>
          </cell>
          <cell r="CH12">
            <v>201.8</v>
          </cell>
          <cell r="CL12">
            <v>197</v>
          </cell>
          <cell r="CP12" t="str">
            <v>มิย.</v>
          </cell>
          <cell r="CQ12">
            <v>177.73</v>
          </cell>
          <cell r="CS12">
            <v>177.28</v>
          </cell>
          <cell r="CT12">
            <v>174.16</v>
          </cell>
          <cell r="CU12">
            <v>178</v>
          </cell>
          <cell r="CV12">
            <v>179.5</v>
          </cell>
          <cell r="CX12">
            <v>0</v>
          </cell>
          <cell r="CY12">
            <v>174.2</v>
          </cell>
          <cell r="DD12" t="str">
            <v>มิย.</v>
          </cell>
          <cell r="DE12">
            <v>138.68</v>
          </cell>
          <cell r="DG12">
            <v>138.36000000000001</v>
          </cell>
          <cell r="DH12">
            <v>138.91</v>
          </cell>
          <cell r="DI12">
            <v>139.33000000000001</v>
          </cell>
          <cell r="DK12">
            <v>139.19999999999999</v>
          </cell>
          <cell r="DL12">
            <v>137.5</v>
          </cell>
          <cell r="DM12">
            <v>137.19999999999999</v>
          </cell>
          <cell r="DQ12" t="str">
            <v>มิย.</v>
          </cell>
          <cell r="DR12">
            <v>752.74</v>
          </cell>
          <cell r="DT12">
            <v>748.45</v>
          </cell>
          <cell r="DU12">
            <v>746.18</v>
          </cell>
          <cell r="DV12">
            <v>753.35</v>
          </cell>
          <cell r="DX12">
            <v>743.5</v>
          </cell>
          <cell r="DZ12">
            <v>739</v>
          </cell>
          <cell r="EG12" t="str">
            <v>มิย.</v>
          </cell>
          <cell r="EH12">
            <v>280.64</v>
          </cell>
          <cell r="EJ12">
            <v>280.74</v>
          </cell>
          <cell r="EK12">
            <v>277.83999999999997</v>
          </cell>
          <cell r="EL12">
            <v>281.02999999999997</v>
          </cell>
          <cell r="EN12">
            <v>279.89999999999998</v>
          </cell>
          <cell r="EP12">
            <v>270</v>
          </cell>
          <cell r="ER12" t="str">
            <v>มิย.</v>
          </cell>
          <cell r="ES12">
            <v>78.06</v>
          </cell>
          <cell r="EU12">
            <v>68.400000000000006</v>
          </cell>
          <cell r="EV12">
            <v>67.87</v>
          </cell>
          <cell r="EW12">
            <v>88.35</v>
          </cell>
          <cell r="EX12">
            <v>80</v>
          </cell>
          <cell r="EY12">
            <v>76</v>
          </cell>
          <cell r="EZ12">
            <v>62</v>
          </cell>
          <cell r="FH12" t="str">
            <v>มิย.</v>
          </cell>
          <cell r="FI12">
            <v>104.78</v>
          </cell>
          <cell r="FK12">
            <v>104.2</v>
          </cell>
          <cell r="FL12">
            <v>109.36</v>
          </cell>
          <cell r="FM12">
            <v>97.88</v>
          </cell>
          <cell r="FN12">
            <v>110.75</v>
          </cell>
          <cell r="FO12">
            <v>103.4</v>
          </cell>
          <cell r="FP12">
            <v>83</v>
          </cell>
          <cell r="FQ12">
            <v>105.7</v>
          </cell>
        </row>
        <row r="13">
          <cell r="E13">
            <v>237.33</v>
          </cell>
          <cell r="F13">
            <v>225.47</v>
          </cell>
          <cell r="G13">
            <v>250.02</v>
          </cell>
          <cell r="H13">
            <v>237</v>
          </cell>
          <cell r="I13">
            <v>244.8</v>
          </cell>
          <cell r="J13">
            <v>239.8</v>
          </cell>
          <cell r="K13">
            <v>213</v>
          </cell>
          <cell r="N13" t="str">
            <v>กค.</v>
          </cell>
          <cell r="O13">
            <v>143.55000000000001</v>
          </cell>
          <cell r="Q13">
            <v>149.16</v>
          </cell>
          <cell r="R13">
            <v>138.54</v>
          </cell>
          <cell r="S13">
            <v>151.11000000000001</v>
          </cell>
          <cell r="T13">
            <v>141</v>
          </cell>
          <cell r="U13">
            <v>151.4</v>
          </cell>
          <cell r="AC13" t="str">
            <v>กค.</v>
          </cell>
          <cell r="AD13" t="e">
            <v>#REF!</v>
          </cell>
          <cell r="AF13">
            <v>380.86</v>
          </cell>
          <cell r="AG13">
            <v>385.98</v>
          </cell>
          <cell r="AH13">
            <v>379</v>
          </cell>
          <cell r="AK13">
            <v>365.1</v>
          </cell>
          <cell r="AO13" t="str">
            <v>กค.</v>
          </cell>
          <cell r="AP13" t="e">
            <v>#REF!</v>
          </cell>
          <cell r="AR13">
            <v>167.3</v>
          </cell>
          <cell r="AS13">
            <v>166.66</v>
          </cell>
          <cell r="AT13">
            <v>175.32</v>
          </cell>
          <cell r="AU13">
            <v>159.25</v>
          </cell>
          <cell r="AV13">
            <v>168</v>
          </cell>
          <cell r="AW13">
            <v>162.5</v>
          </cell>
          <cell r="AX13">
            <v>159</v>
          </cell>
          <cell r="BB13" t="str">
            <v>กค.</v>
          </cell>
          <cell r="BC13" t="e">
            <v>#REF!</v>
          </cell>
          <cell r="BE13">
            <v>142.66999999999999</v>
          </cell>
          <cell r="BF13">
            <v>148.52000000000001</v>
          </cell>
          <cell r="BG13">
            <v>150.96</v>
          </cell>
          <cell r="BH13">
            <v>138.5</v>
          </cell>
          <cell r="BI13">
            <v>147</v>
          </cell>
          <cell r="BK13">
            <v>135</v>
          </cell>
          <cell r="BO13" t="str">
            <v>กค.</v>
          </cell>
          <cell r="BP13" t="e">
            <v>#REF!</v>
          </cell>
          <cell r="BR13">
            <v>92.11</v>
          </cell>
          <cell r="BS13">
            <v>94.3</v>
          </cell>
          <cell r="BT13">
            <v>90.56</v>
          </cell>
          <cell r="BV13">
            <v>75</v>
          </cell>
          <cell r="BW13">
            <v>94</v>
          </cell>
          <cell r="CC13" t="str">
            <v>กค.</v>
          </cell>
          <cell r="CD13">
            <v>201.71</v>
          </cell>
          <cell r="CF13">
            <v>200.51</v>
          </cell>
          <cell r="CG13">
            <v>203.86</v>
          </cell>
          <cell r="CH13">
            <v>203</v>
          </cell>
          <cell r="CL13">
            <v>197</v>
          </cell>
          <cell r="CP13" t="str">
            <v>กค.</v>
          </cell>
          <cell r="CQ13">
            <v>177.3</v>
          </cell>
          <cell r="CS13">
            <v>177.7</v>
          </cell>
          <cell r="CT13">
            <v>174.19</v>
          </cell>
          <cell r="CU13">
            <v>177.5</v>
          </cell>
          <cell r="CV13">
            <v>178.05</v>
          </cell>
          <cell r="CX13">
            <v>0</v>
          </cell>
          <cell r="CY13">
            <v>174.2</v>
          </cell>
          <cell r="DD13" t="str">
            <v>กค.</v>
          </cell>
          <cell r="DE13">
            <v>139</v>
          </cell>
          <cell r="DG13">
            <v>139.74</v>
          </cell>
          <cell r="DH13">
            <v>139.09</v>
          </cell>
          <cell r="DI13">
            <v>139.79</v>
          </cell>
          <cell r="DK13">
            <v>139.19999999999999</v>
          </cell>
          <cell r="DL13">
            <v>137.68</v>
          </cell>
          <cell r="DM13">
            <v>137.19999999999999</v>
          </cell>
          <cell r="DQ13" t="str">
            <v>กค.</v>
          </cell>
          <cell r="DR13">
            <v>752.9</v>
          </cell>
          <cell r="DT13">
            <v>747.19</v>
          </cell>
          <cell r="DU13">
            <v>748.33</v>
          </cell>
          <cell r="DV13">
            <v>753.15</v>
          </cell>
          <cell r="DX13">
            <v>743.5</v>
          </cell>
          <cell r="DZ13">
            <v>739</v>
          </cell>
          <cell r="EG13" t="str">
            <v>กค.</v>
          </cell>
          <cell r="EH13">
            <v>280.70999999999998</v>
          </cell>
          <cell r="EI13">
            <v>0</v>
          </cell>
          <cell r="EJ13">
            <v>281.77999999999997</v>
          </cell>
          <cell r="EK13">
            <v>278.86</v>
          </cell>
          <cell r="EL13">
            <v>281.10000000000002</v>
          </cell>
          <cell r="EN13">
            <v>279.89999999999998</v>
          </cell>
          <cell r="EP13">
            <v>270</v>
          </cell>
          <cell r="ER13" t="str">
            <v>กค.</v>
          </cell>
          <cell r="ES13">
            <v>79.599999999999994</v>
          </cell>
          <cell r="EU13">
            <v>69.42</v>
          </cell>
          <cell r="EV13">
            <v>71.42</v>
          </cell>
          <cell r="EW13">
            <v>89.6</v>
          </cell>
          <cell r="EX13">
            <v>81.5</v>
          </cell>
          <cell r="EY13">
            <v>76</v>
          </cell>
          <cell r="EZ13">
            <v>62</v>
          </cell>
          <cell r="FH13" t="str">
            <v>กค.</v>
          </cell>
          <cell r="FI13">
            <v>103.2</v>
          </cell>
          <cell r="FK13">
            <v>105.1</v>
          </cell>
          <cell r="FL13">
            <v>107.41</v>
          </cell>
          <cell r="FM13">
            <v>97.93</v>
          </cell>
          <cell r="FN13">
            <v>108.13</v>
          </cell>
          <cell r="FO13">
            <v>100.8</v>
          </cell>
          <cell r="FP13">
            <v>83</v>
          </cell>
          <cell r="FQ13">
            <v>105.7</v>
          </cell>
        </row>
        <row r="14">
          <cell r="E14">
            <v>243.36</v>
          </cell>
          <cell r="F14">
            <v>237.26</v>
          </cell>
          <cell r="G14">
            <v>251.75</v>
          </cell>
          <cell r="H14">
            <v>238.4</v>
          </cell>
          <cell r="I14">
            <v>244.8</v>
          </cell>
          <cell r="J14">
            <v>239.8</v>
          </cell>
          <cell r="K14">
            <v>213</v>
          </cell>
          <cell r="N14" t="str">
            <v>สค.</v>
          </cell>
          <cell r="O14">
            <v>148.38</v>
          </cell>
          <cell r="Q14">
            <v>159.6</v>
          </cell>
          <cell r="R14">
            <v>153.97</v>
          </cell>
          <cell r="S14">
            <v>155.72999999999999</v>
          </cell>
          <cell r="T14">
            <v>146</v>
          </cell>
          <cell r="U14">
            <v>151.4</v>
          </cell>
          <cell r="AC14" t="str">
            <v>สค.</v>
          </cell>
          <cell r="AD14" t="e">
            <v>#REF!</v>
          </cell>
          <cell r="AF14">
            <v>390.83</v>
          </cell>
          <cell r="AG14">
            <v>397.92</v>
          </cell>
          <cell r="AH14">
            <v>386.36</v>
          </cell>
          <cell r="AK14">
            <v>365.1</v>
          </cell>
          <cell r="AO14" t="str">
            <v>สค.</v>
          </cell>
          <cell r="AP14" t="e">
            <v>#REF!</v>
          </cell>
          <cell r="AR14">
            <v>168.53</v>
          </cell>
          <cell r="AS14">
            <v>172.02</v>
          </cell>
          <cell r="AT14">
            <v>176.51</v>
          </cell>
          <cell r="AU14">
            <v>160.4</v>
          </cell>
          <cell r="AV14">
            <v>168</v>
          </cell>
          <cell r="AW14">
            <v>162.5</v>
          </cell>
          <cell r="AX14">
            <v>159</v>
          </cell>
          <cell r="BB14" t="str">
            <v>สค.</v>
          </cell>
          <cell r="BC14" t="e">
            <v>#REF!</v>
          </cell>
          <cell r="BE14">
            <v>146.96</v>
          </cell>
          <cell r="BF14">
            <v>155.37</v>
          </cell>
          <cell r="BG14">
            <v>152.1</v>
          </cell>
          <cell r="BH14">
            <v>140</v>
          </cell>
          <cell r="BI14">
            <v>147</v>
          </cell>
          <cell r="BK14">
            <v>135</v>
          </cell>
          <cell r="BO14" t="str">
            <v>สค.</v>
          </cell>
          <cell r="BP14" t="e">
            <v>#REF!</v>
          </cell>
          <cell r="BR14">
            <v>93.6</v>
          </cell>
          <cell r="BS14">
            <v>99.35</v>
          </cell>
          <cell r="BT14">
            <v>93.58</v>
          </cell>
          <cell r="BV14">
            <v>75</v>
          </cell>
          <cell r="BW14">
            <v>94</v>
          </cell>
          <cell r="CC14" t="str">
            <v>สค.</v>
          </cell>
          <cell r="CD14">
            <v>203.27</v>
          </cell>
          <cell r="CF14">
            <v>202.43</v>
          </cell>
          <cell r="CG14">
            <v>205.38</v>
          </cell>
          <cell r="CH14">
            <v>204.1</v>
          </cell>
          <cell r="CL14">
            <v>197</v>
          </cell>
          <cell r="CP14" t="str">
            <v>สค.</v>
          </cell>
          <cell r="CQ14">
            <v>177.2</v>
          </cell>
          <cell r="CS14">
            <v>178.82</v>
          </cell>
          <cell r="CT14">
            <v>173.83</v>
          </cell>
          <cell r="CU14">
            <v>177.5</v>
          </cell>
          <cell r="CV14">
            <v>176.9</v>
          </cell>
          <cell r="CX14">
            <v>0</v>
          </cell>
          <cell r="CY14">
            <v>174.2</v>
          </cell>
          <cell r="DD14" t="str">
            <v>สค.</v>
          </cell>
          <cell r="DE14">
            <v>140.03</v>
          </cell>
          <cell r="DG14">
            <v>140.08000000000001</v>
          </cell>
          <cell r="DH14">
            <v>139.43</v>
          </cell>
          <cell r="DI14">
            <v>140.65</v>
          </cell>
          <cell r="DK14">
            <v>139.19999999999999</v>
          </cell>
          <cell r="DL14">
            <v>138.53</v>
          </cell>
          <cell r="DM14">
            <v>137.19999999999999</v>
          </cell>
          <cell r="DQ14" t="str">
            <v>สค.</v>
          </cell>
          <cell r="DR14">
            <v>753.62</v>
          </cell>
          <cell r="DT14">
            <v>748.76</v>
          </cell>
          <cell r="DU14">
            <v>750.97</v>
          </cell>
          <cell r="DV14">
            <v>753.78</v>
          </cell>
          <cell r="DX14">
            <v>743.5</v>
          </cell>
          <cell r="DZ14">
            <v>739</v>
          </cell>
          <cell r="EG14" t="str">
            <v>สค.</v>
          </cell>
          <cell r="EH14">
            <v>281.55</v>
          </cell>
          <cell r="EI14">
            <v>0</v>
          </cell>
          <cell r="EJ14">
            <v>282.7</v>
          </cell>
          <cell r="EK14">
            <v>279.54000000000002</v>
          </cell>
          <cell r="EL14">
            <v>281.23</v>
          </cell>
          <cell r="EN14">
            <v>279.89999999999998</v>
          </cell>
          <cell r="EP14">
            <v>270</v>
          </cell>
          <cell r="ER14" t="str">
            <v>สค.</v>
          </cell>
          <cell r="ES14">
            <v>82.7</v>
          </cell>
          <cell r="EU14">
            <v>73.05</v>
          </cell>
          <cell r="EV14">
            <v>74.37</v>
          </cell>
          <cell r="EW14">
            <v>90.81</v>
          </cell>
          <cell r="EX14">
            <v>84.4</v>
          </cell>
          <cell r="EY14">
            <v>76</v>
          </cell>
          <cell r="EZ14">
            <v>62</v>
          </cell>
          <cell r="FH14" t="str">
            <v>สค.</v>
          </cell>
          <cell r="FI14">
            <v>102.8</v>
          </cell>
          <cell r="FK14">
            <v>106.67</v>
          </cell>
          <cell r="FL14">
            <v>104.41</v>
          </cell>
          <cell r="FM14">
            <v>97</v>
          </cell>
          <cell r="FN14">
            <v>106.15</v>
          </cell>
          <cell r="FO14">
            <v>99.6</v>
          </cell>
          <cell r="FP14">
            <v>83</v>
          </cell>
          <cell r="FQ14">
            <v>105.7</v>
          </cell>
        </row>
        <row r="15">
          <cell r="E15">
            <v>251.55</v>
          </cell>
          <cell r="F15">
            <v>246.17</v>
          </cell>
          <cell r="G15">
            <v>256.3</v>
          </cell>
          <cell r="H15">
            <v>242.2</v>
          </cell>
          <cell r="I15">
            <v>244.8</v>
          </cell>
          <cell r="J15">
            <v>239.8</v>
          </cell>
          <cell r="K15">
            <v>213</v>
          </cell>
          <cell r="N15" t="str">
            <v>กย.</v>
          </cell>
          <cell r="O15">
            <v>152.87</v>
          </cell>
          <cell r="Q15">
            <v>162</v>
          </cell>
          <cell r="R15">
            <v>159.53</v>
          </cell>
          <cell r="S15">
            <v>161.41999999999999</v>
          </cell>
          <cell r="T15">
            <v>151</v>
          </cell>
          <cell r="U15">
            <v>151.4</v>
          </cell>
          <cell r="AC15" t="str">
            <v>กย.</v>
          </cell>
          <cell r="AD15" t="e">
            <v>#REF!</v>
          </cell>
          <cell r="AF15">
            <v>396.31</v>
          </cell>
          <cell r="AG15">
            <v>395.18</v>
          </cell>
          <cell r="AH15">
            <v>395</v>
          </cell>
          <cell r="AK15">
            <v>365.1</v>
          </cell>
          <cell r="AO15" t="str">
            <v>กย.</v>
          </cell>
          <cell r="AP15" t="e">
            <v>#REF!</v>
          </cell>
          <cell r="AR15">
            <v>172.85</v>
          </cell>
          <cell r="AS15">
            <v>174.54</v>
          </cell>
          <cell r="AT15">
            <v>178.1</v>
          </cell>
          <cell r="AU15">
            <v>162.6</v>
          </cell>
          <cell r="AV15">
            <v>168</v>
          </cell>
          <cell r="AW15">
            <v>162.5</v>
          </cell>
          <cell r="AX15">
            <v>159</v>
          </cell>
          <cell r="BB15" t="str">
            <v>กย.</v>
          </cell>
          <cell r="BC15" t="e">
            <v>#REF!</v>
          </cell>
          <cell r="BE15">
            <v>151.72</v>
          </cell>
          <cell r="BF15">
            <v>155.01</v>
          </cell>
          <cell r="BG15">
            <v>153.9</v>
          </cell>
          <cell r="BH15">
            <v>142</v>
          </cell>
          <cell r="BI15">
            <v>147</v>
          </cell>
          <cell r="BK15">
            <v>135</v>
          </cell>
          <cell r="BO15" t="str">
            <v>กย.</v>
          </cell>
          <cell r="BP15" t="e">
            <v>#REF!</v>
          </cell>
          <cell r="BR15">
            <v>97.87</v>
          </cell>
          <cell r="BS15">
            <v>99.01</v>
          </cell>
          <cell r="BT15">
            <v>95.77</v>
          </cell>
          <cell r="BV15">
            <v>75</v>
          </cell>
          <cell r="BW15">
            <v>94</v>
          </cell>
          <cell r="CC15" t="str">
            <v>กย.</v>
          </cell>
          <cell r="CD15">
            <v>204</v>
          </cell>
          <cell r="CF15">
            <v>203.47</v>
          </cell>
          <cell r="CG15">
            <v>204.22</v>
          </cell>
          <cell r="CH15">
            <v>204.9</v>
          </cell>
          <cell r="CL15">
            <v>197</v>
          </cell>
          <cell r="CP15" t="str">
            <v>กย.</v>
          </cell>
          <cell r="CQ15">
            <v>178.73</v>
          </cell>
          <cell r="CS15">
            <v>180.47</v>
          </cell>
          <cell r="CT15">
            <v>178.12</v>
          </cell>
          <cell r="CU15">
            <v>179.15</v>
          </cell>
          <cell r="CV15">
            <v>176.78</v>
          </cell>
          <cell r="CX15">
            <v>0</v>
          </cell>
          <cell r="CY15">
            <v>174.2</v>
          </cell>
          <cell r="DD15" t="str">
            <v>กย.</v>
          </cell>
          <cell r="DE15">
            <v>141.15</v>
          </cell>
          <cell r="DG15">
            <v>140.85</v>
          </cell>
          <cell r="DH15">
            <v>140.91</v>
          </cell>
          <cell r="DI15">
            <v>141.88999999999999</v>
          </cell>
          <cell r="DK15">
            <v>139.19999999999999</v>
          </cell>
          <cell r="DL15">
            <v>140.58000000000001</v>
          </cell>
          <cell r="DM15">
            <v>137.19999999999999</v>
          </cell>
          <cell r="DQ15" t="str">
            <v>กย.</v>
          </cell>
          <cell r="DR15">
            <v>756.91</v>
          </cell>
          <cell r="DT15">
            <v>754.57</v>
          </cell>
          <cell r="DU15">
            <v>754.63</v>
          </cell>
          <cell r="DV15">
            <v>757.15</v>
          </cell>
          <cell r="DX15">
            <v>743.5</v>
          </cell>
          <cell r="DZ15">
            <v>739</v>
          </cell>
          <cell r="EG15" t="str">
            <v>กย.</v>
          </cell>
          <cell r="EH15">
            <v>282.64</v>
          </cell>
          <cell r="EI15">
            <v>0</v>
          </cell>
          <cell r="EJ15">
            <v>283.76</v>
          </cell>
          <cell r="EK15">
            <v>281.93</v>
          </cell>
          <cell r="EL15">
            <v>283.23</v>
          </cell>
          <cell r="EN15">
            <v>279.89999999999998</v>
          </cell>
          <cell r="EP15">
            <v>270</v>
          </cell>
          <cell r="ER15" t="str">
            <v>กย.</v>
          </cell>
          <cell r="ES15">
            <v>85.06</v>
          </cell>
          <cell r="EU15">
            <v>78.400000000000006</v>
          </cell>
          <cell r="EV15">
            <v>77.75</v>
          </cell>
          <cell r="EW15">
            <v>91.98</v>
          </cell>
          <cell r="EX15">
            <v>85.6</v>
          </cell>
          <cell r="EY15">
            <v>76</v>
          </cell>
          <cell r="EZ15">
            <v>62</v>
          </cell>
          <cell r="FH15" t="str">
            <v>กย.</v>
          </cell>
          <cell r="FI15">
            <v>101.63</v>
          </cell>
          <cell r="FK15">
            <v>104.46</v>
          </cell>
          <cell r="FL15">
            <v>100.86</v>
          </cell>
          <cell r="FM15">
            <v>96.08</v>
          </cell>
          <cell r="FN15">
            <v>105.01</v>
          </cell>
          <cell r="FO15">
            <v>98.1</v>
          </cell>
          <cell r="FP15">
            <v>83</v>
          </cell>
          <cell r="FQ15">
            <v>105.7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">
          <cell r="E3">
            <v>0</v>
          </cell>
        </row>
      </sheetData>
      <sheetData sheetId="35">
        <row r="3">
          <cell r="E3">
            <v>0</v>
          </cell>
        </row>
      </sheetData>
      <sheetData sheetId="36">
        <row r="3">
          <cell r="E3">
            <v>0</v>
          </cell>
        </row>
      </sheetData>
      <sheetData sheetId="37">
        <row r="3">
          <cell r="E3">
            <v>0</v>
          </cell>
        </row>
      </sheetData>
      <sheetData sheetId="38"/>
      <sheetData sheetId="39"/>
      <sheetData sheetId="40">
        <row r="3">
          <cell r="E3">
            <v>0</v>
          </cell>
        </row>
      </sheetData>
      <sheetData sheetId="41">
        <row r="3">
          <cell r="E3">
            <v>0</v>
          </cell>
        </row>
      </sheetData>
      <sheetData sheetId="42">
        <row r="3">
          <cell r="E3">
            <v>0</v>
          </cell>
        </row>
      </sheetData>
      <sheetData sheetId="43">
        <row r="3">
          <cell r="E3">
            <v>0</v>
          </cell>
        </row>
      </sheetData>
      <sheetData sheetId="44"/>
      <sheetData sheetId="45" refreshError="1"/>
      <sheetData sheetId="46">
        <row r="3">
          <cell r="E3">
            <v>0</v>
          </cell>
        </row>
      </sheetData>
      <sheetData sheetId="47">
        <row r="3">
          <cell r="E3">
            <v>0</v>
          </cell>
        </row>
      </sheetData>
      <sheetData sheetId="48">
        <row r="3">
          <cell r="E3">
            <v>0</v>
          </cell>
        </row>
      </sheetData>
      <sheetData sheetId="49">
        <row r="3">
          <cell r="E3">
            <v>0</v>
          </cell>
        </row>
      </sheetData>
      <sheetData sheetId="50">
        <row r="3">
          <cell r="E3">
            <v>0</v>
          </cell>
        </row>
      </sheetData>
      <sheetData sheetId="51">
        <row r="3">
          <cell r="E3">
            <v>0</v>
          </cell>
        </row>
      </sheetData>
      <sheetData sheetId="52">
        <row r="3">
          <cell r="E3">
            <v>0</v>
          </cell>
        </row>
      </sheetData>
      <sheetData sheetId="53">
        <row r="3">
          <cell r="E3">
            <v>0</v>
          </cell>
        </row>
      </sheetData>
      <sheetData sheetId="54">
        <row r="3">
          <cell r="E3">
            <v>0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งานอุตสาหกรรม (HIGH)"/>
      <sheetName val="รายงานอุตสาหกรรม (BASE)"/>
      <sheetName val="รายงาน (กระบี่)"/>
      <sheetName val="รายงาน"/>
      <sheetName val="รายงาน (2)"/>
      <sheetName val="รายงาน (3)"/>
      <sheetName val="Assumptions"/>
      <sheetName val="NG_PRICE_M1"/>
      <sheetName val="NG_PRICE_M2"/>
      <sheetName val="NG_PRICE_Y"/>
      <sheetName val="NG_PRICE_Y มีภาระ TOP"/>
      <sheetName val="FLOW"/>
      <sheetName val="FLOW_M"/>
      <sheetName val="base"/>
      <sheetName val="mp3-mer15%"/>
      <sheetName val="base &amp; bkk"/>
      <sheetName val="mp3-mer15%-no bkk"/>
      <sheetName val="FixCost"/>
      <sheetName val="gas-price_"/>
      <sheetName val="factor"/>
      <sheetName val="Sheet3"/>
      <sheetName val="DataPlanning"/>
      <sheetName val="รายละเอียดidc"/>
      <sheetName val="repay45"/>
      <sheetName val="int45"/>
      <sheetName val="List"/>
      <sheetName val="FC List"/>
      <sheetName val="Initiative"/>
      <sheetName val="Input_Allocate"/>
      <sheetName val="Cal_Project"/>
      <sheetName val="Dum_AllocateIDC"/>
      <sheetName val="report_allidc"/>
      <sheetName val="normal"/>
      <sheetName val="level_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C6">
            <v>45</v>
          </cell>
          <cell r="D6">
            <v>45</v>
          </cell>
          <cell r="E6">
            <v>42</v>
          </cell>
          <cell r="F6">
            <v>40</v>
          </cell>
          <cell r="G6">
            <v>40</v>
          </cell>
          <cell r="H6">
            <v>40</v>
          </cell>
          <cell r="I6">
            <v>40</v>
          </cell>
          <cell r="J6">
            <v>40</v>
          </cell>
          <cell r="K6">
            <v>40</v>
          </cell>
          <cell r="L6">
            <v>40</v>
          </cell>
          <cell r="M6">
            <v>40</v>
          </cell>
          <cell r="N6">
            <v>40</v>
          </cell>
          <cell r="O6">
            <v>40</v>
          </cell>
          <cell r="P6">
            <v>40</v>
          </cell>
          <cell r="Q6">
            <v>40</v>
          </cell>
          <cell r="R6">
            <v>40</v>
          </cell>
          <cell r="S6">
            <v>40</v>
          </cell>
          <cell r="T6">
            <v>40</v>
          </cell>
          <cell r="U6">
            <v>40</v>
          </cell>
          <cell r="V6">
            <v>40</v>
          </cell>
          <cell r="W6">
            <v>40</v>
          </cell>
          <cell r="X6">
            <v>40</v>
          </cell>
          <cell r="Y6">
            <v>40</v>
          </cell>
          <cell r="Z6">
            <v>40</v>
          </cell>
          <cell r="AA6">
            <v>40</v>
          </cell>
          <cell r="AB6">
            <v>40</v>
          </cell>
          <cell r="AC6">
            <v>40</v>
          </cell>
          <cell r="AD6">
            <v>40</v>
          </cell>
          <cell r="AE6">
            <v>40</v>
          </cell>
          <cell r="AF6">
            <v>40</v>
          </cell>
          <cell r="AG6">
            <v>40</v>
          </cell>
          <cell r="AH6">
            <v>40</v>
          </cell>
          <cell r="AI6">
            <v>40</v>
          </cell>
          <cell r="AJ6">
            <v>40</v>
          </cell>
          <cell r="AK6">
            <v>40</v>
          </cell>
          <cell r="AL6">
            <v>40</v>
          </cell>
          <cell r="AM6">
            <v>40</v>
          </cell>
          <cell r="AN6">
            <v>40</v>
          </cell>
          <cell r="AO6">
            <v>40</v>
          </cell>
          <cell r="AP6">
            <v>40</v>
          </cell>
          <cell r="AQ6">
            <v>40</v>
          </cell>
        </row>
        <row r="7">
          <cell r="C7">
            <v>2</v>
          </cell>
          <cell r="D7">
            <v>2.5</v>
          </cell>
          <cell r="E7">
            <v>3.5</v>
          </cell>
          <cell r="F7">
            <v>3.5</v>
          </cell>
          <cell r="G7">
            <v>3.5</v>
          </cell>
          <cell r="H7">
            <v>3.5</v>
          </cell>
          <cell r="I7">
            <v>4.5</v>
          </cell>
          <cell r="J7">
            <v>4</v>
          </cell>
          <cell r="K7">
            <v>3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3</v>
          </cell>
          <cell r="Q7">
            <v>3</v>
          </cell>
          <cell r="R7">
            <v>3</v>
          </cell>
          <cell r="S7">
            <v>3</v>
          </cell>
          <cell r="T7">
            <v>3</v>
          </cell>
          <cell r="U7">
            <v>3</v>
          </cell>
          <cell r="V7">
            <v>3</v>
          </cell>
          <cell r="W7">
            <v>3</v>
          </cell>
          <cell r="X7">
            <v>3</v>
          </cell>
          <cell r="Y7">
            <v>3</v>
          </cell>
          <cell r="Z7">
            <v>3</v>
          </cell>
          <cell r="AA7">
            <v>3</v>
          </cell>
          <cell r="AB7">
            <v>3</v>
          </cell>
          <cell r="AC7">
            <v>3</v>
          </cell>
          <cell r="AD7">
            <v>3</v>
          </cell>
          <cell r="AE7">
            <v>3</v>
          </cell>
          <cell r="AF7">
            <v>3</v>
          </cell>
          <cell r="AG7">
            <v>3</v>
          </cell>
          <cell r="AH7">
            <v>3</v>
          </cell>
          <cell r="AI7">
            <v>3</v>
          </cell>
          <cell r="AJ7">
            <v>3</v>
          </cell>
          <cell r="AK7">
            <v>3</v>
          </cell>
          <cell r="AL7">
            <v>3</v>
          </cell>
          <cell r="AM7">
            <v>3</v>
          </cell>
          <cell r="AN7">
            <v>3</v>
          </cell>
          <cell r="AO7">
            <v>3</v>
          </cell>
          <cell r="AP7">
            <v>3</v>
          </cell>
          <cell r="AQ7">
            <v>3</v>
          </cell>
        </row>
        <row r="8">
          <cell r="C8">
            <v>25.75</v>
          </cell>
          <cell r="D8">
            <v>16.666666666666664</v>
          </cell>
          <cell r="E8">
            <v>24.7</v>
          </cell>
          <cell r="F8">
            <v>27.4</v>
          </cell>
          <cell r="G8">
            <v>29.085078601953601</v>
          </cell>
          <cell r="H8">
            <v>41.606496554119722</v>
          </cell>
          <cell r="I8">
            <v>52.61</v>
          </cell>
          <cell r="J8">
            <v>48.5</v>
          </cell>
          <cell r="K8">
            <v>44.707429441624363</v>
          </cell>
          <cell r="L8">
            <v>44.573494545454544</v>
          </cell>
          <cell r="M8">
            <v>45.286618133869347</v>
          </cell>
          <cell r="N8">
            <v>46.88692183642884</v>
          </cell>
          <cell r="O8">
            <v>47.867603717913788</v>
          </cell>
          <cell r="P8">
            <v>48.339451493734963</v>
          </cell>
          <cell r="Q8">
            <v>48.566640057035265</v>
          </cell>
          <cell r="R8">
            <v>49.502972858175973</v>
          </cell>
          <cell r="S8">
            <v>50.458032315339494</v>
          </cell>
          <cell r="T8">
            <v>50.458032315339494</v>
          </cell>
          <cell r="U8">
            <v>50.458032315339494</v>
          </cell>
          <cell r="V8">
            <v>50.458032315339494</v>
          </cell>
          <cell r="W8">
            <v>50.458032315339494</v>
          </cell>
          <cell r="X8">
            <v>50.458032315339494</v>
          </cell>
          <cell r="Y8">
            <v>50.458032315339494</v>
          </cell>
          <cell r="Z8">
            <v>50.458032315339494</v>
          </cell>
          <cell r="AA8">
            <v>50.458032315339494</v>
          </cell>
          <cell r="AB8">
            <v>50.458032315339494</v>
          </cell>
          <cell r="AC8">
            <v>50.458032315339494</v>
          </cell>
          <cell r="AD8">
            <v>50.458032315339494</v>
          </cell>
          <cell r="AE8">
            <v>50.458032315339494</v>
          </cell>
          <cell r="AF8">
            <v>50.458032315339494</v>
          </cell>
          <cell r="AG8">
            <v>50.458032315339494</v>
          </cell>
          <cell r="AH8">
            <v>50.458032315339494</v>
          </cell>
          <cell r="AI8">
            <v>50.458032315339494</v>
          </cell>
          <cell r="AJ8">
            <v>50.458032315339494</v>
          </cell>
          <cell r="AK8">
            <v>50.458032315339494</v>
          </cell>
          <cell r="AL8">
            <v>50.458032315339494</v>
          </cell>
          <cell r="AM8">
            <v>50.458032315339494</v>
          </cell>
          <cell r="AN8">
            <v>50.458032315339494</v>
          </cell>
          <cell r="AO8">
            <v>50.458032315339494</v>
          </cell>
          <cell r="AP8">
            <v>50.458032315339494</v>
          </cell>
          <cell r="AQ8">
            <v>50.458032315339494</v>
          </cell>
        </row>
        <row r="9">
          <cell r="C9">
            <v>25.25</v>
          </cell>
          <cell r="D9">
            <v>16.363636363636363</v>
          </cell>
          <cell r="E9">
            <v>23.5</v>
          </cell>
          <cell r="F9">
            <v>25.95</v>
          </cell>
          <cell r="G9">
            <v>27.81</v>
          </cell>
          <cell r="H9">
            <v>40.436496554119721</v>
          </cell>
          <cell r="I9">
            <v>51.435833333333335</v>
          </cell>
          <cell r="J9">
            <v>47.33</v>
          </cell>
          <cell r="K9">
            <v>43.537429441624361</v>
          </cell>
          <cell r="L9">
            <v>43.403494545454542</v>
          </cell>
          <cell r="M9">
            <v>44.116618133869345</v>
          </cell>
          <cell r="N9">
            <v>45.716921836428838</v>
          </cell>
          <cell r="O9">
            <v>46.697603717913786</v>
          </cell>
          <cell r="P9">
            <v>47.169451493734961</v>
          </cell>
          <cell r="Q9">
            <v>47.396640057035263</v>
          </cell>
          <cell r="R9">
            <v>48.332972858175971</v>
          </cell>
          <cell r="S9">
            <v>49.288032315339493</v>
          </cell>
          <cell r="T9">
            <v>49.288032315339493</v>
          </cell>
          <cell r="U9">
            <v>49.288032315339493</v>
          </cell>
          <cell r="V9">
            <v>49.288032315339493</v>
          </cell>
          <cell r="W9">
            <v>49.288032315339493</v>
          </cell>
          <cell r="X9">
            <v>49.288032315339493</v>
          </cell>
          <cell r="Y9">
            <v>49.288032315339493</v>
          </cell>
          <cell r="Z9">
            <v>49.288032315339493</v>
          </cell>
          <cell r="AA9">
            <v>49.288032315339493</v>
          </cell>
          <cell r="AB9">
            <v>49.288032315339493</v>
          </cell>
          <cell r="AC9">
            <v>49.288032315339493</v>
          </cell>
          <cell r="AD9">
            <v>49.288032315339493</v>
          </cell>
          <cell r="AE9">
            <v>49.288032315339493</v>
          </cell>
          <cell r="AF9">
            <v>49.288032315339493</v>
          </cell>
          <cell r="AG9">
            <v>49.288032315339493</v>
          </cell>
          <cell r="AH9">
            <v>49.288032315339493</v>
          </cell>
          <cell r="AI9">
            <v>49.288032315339493</v>
          </cell>
          <cell r="AJ9">
            <v>49.288032315339493</v>
          </cell>
          <cell r="AK9">
            <v>49.288032315339493</v>
          </cell>
          <cell r="AL9">
            <v>49.288032315339493</v>
          </cell>
          <cell r="AM9">
            <v>49.288032315339493</v>
          </cell>
          <cell r="AN9">
            <v>49.288032315339493</v>
          </cell>
          <cell r="AO9">
            <v>49.288032315339493</v>
          </cell>
          <cell r="AP9">
            <v>49.288032315339493</v>
          </cell>
          <cell r="AQ9">
            <v>49.288032315339493</v>
          </cell>
        </row>
        <row r="12">
          <cell r="C12">
            <v>26.9</v>
          </cell>
          <cell r="D12">
            <v>22.8</v>
          </cell>
          <cell r="E12">
            <v>21.66</v>
          </cell>
          <cell r="F12">
            <v>21</v>
          </cell>
          <cell r="G12">
            <v>20.5</v>
          </cell>
          <cell r="H12">
            <v>20</v>
          </cell>
          <cell r="I12">
            <v>19.3</v>
          </cell>
          <cell r="J12">
            <v>19</v>
          </cell>
          <cell r="K12">
            <v>18.8</v>
          </cell>
          <cell r="L12">
            <v>18.5</v>
          </cell>
          <cell r="M12">
            <v>18.3</v>
          </cell>
          <cell r="N12">
            <v>18</v>
          </cell>
          <cell r="O12">
            <v>18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1"/>
      <sheetName val="EGAT Lignite"/>
      <sheetName val="EGAT Diesel"/>
      <sheetName val="EGAT Oil"/>
      <sheetName val="EGAT GAS NP"/>
      <sheetName val="EGAT GAS LKB"/>
      <sheetName val="EGAT GAS GULF"/>
      <sheetName val="EGAT GAS Myanmar"/>
      <sheetName val="IPP GAS GULF"/>
      <sheetName val="IPP Coal"/>
      <sheetName val="IPP Diesel"/>
      <sheetName val="IPP Oil"/>
      <sheetName val="IPP GAS Myanmar"/>
      <sheetName val="Gas Price"/>
      <sheetName val="SumTable ปริมาณ"/>
      <sheetName val="1.1"/>
      <sheetName val="1.2"/>
      <sheetName val="SumTable ราคา (บาท-หน่วย)"/>
      <sheetName val="2.1"/>
      <sheetName val="2.2"/>
      <sheetName val="Table ค่าไฟฟ้า กฟผ(บาท-kWh)"/>
      <sheetName val="3.1"/>
      <sheetName val="3.2"/>
      <sheetName val="Purchase"/>
      <sheetName val="Assumptions"/>
      <sheetName val="factor"/>
      <sheetName val="Tariff"/>
      <sheetName val="repay45"/>
      <sheetName val="int45"/>
      <sheetName val="sub"/>
      <sheetName val="Input_Allocate"/>
      <sheetName val="Cal_Project"/>
      <sheetName val="Dum_AllocateIDC"/>
      <sheetName val="april-retro"/>
      <sheetName val="รายละเอียดidc"/>
      <sheetName val="level_all"/>
      <sheetName val="report_allidc"/>
      <sheetName val="normal"/>
    </sheetNames>
    <sheetDataSet>
      <sheetData sheetId="0" refreshError="1">
        <row r="2">
          <cell r="C2">
            <v>2549</v>
          </cell>
        </row>
        <row r="3">
          <cell r="C3">
            <v>2548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ctober'02"/>
      <sheetName val="November'02"/>
      <sheetName val="Sheet1"/>
      <sheetName val="December'02"/>
      <sheetName val="January'03"/>
      <sheetName val="summary-สำนักบริหารหนี้-1"/>
      <sheetName val="Sheet7"/>
      <sheetName val="Sheet9"/>
      <sheetName val="Sheet3"/>
      <sheetName val="summary-สำนักบริหารหนี้-2"/>
      <sheetName val="summary-สำนักบริหารหนี้-2 (2)"/>
      <sheetName val="Sheet4"/>
      <sheetName val="Sheet5"/>
      <sheetName val="January'03-สำนักบริหารหนี้"/>
      <sheetName val="หมายเหตุ"/>
      <sheetName val="February'03"/>
      <sheetName val="ADJUST"/>
      <sheetName val="ex.rate"/>
      <sheetName val="Sheet2"/>
      <sheetName val="Sheet8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2">
          <cell r="B2" t="str">
            <v>BEF</v>
          </cell>
          <cell r="C2">
            <v>1.1537999999999999</v>
          </cell>
          <cell r="D2">
            <v>1.0911999999999999</v>
          </cell>
          <cell r="E2">
            <v>0.93479999999999996</v>
          </cell>
          <cell r="F2">
            <v>1.014</v>
          </cell>
          <cell r="G2">
            <v>1.0109999999999999</v>
          </cell>
          <cell r="H2">
            <v>0.97489999999999999</v>
          </cell>
          <cell r="I2">
            <v>0.97750000000000004</v>
          </cell>
          <cell r="J2">
            <v>0.95620000000000005</v>
          </cell>
          <cell r="K2">
            <v>0.96130000000000004</v>
          </cell>
          <cell r="L2">
            <v>0.96</v>
          </cell>
        </row>
        <row r="3">
          <cell r="B3" t="str">
            <v>CAD</v>
          </cell>
          <cell r="C3">
            <v>26.154399999999999</v>
          </cell>
          <cell r="D3">
            <v>28.152799999999999</v>
          </cell>
          <cell r="E3">
            <v>28.326899999999998</v>
          </cell>
          <cell r="F3">
            <v>28.2806</v>
          </cell>
          <cell r="G3">
            <v>28.443899999999999</v>
          </cell>
          <cell r="H3">
            <v>28.043900000000001</v>
          </cell>
          <cell r="I3">
            <v>27.8325</v>
          </cell>
          <cell r="J3">
            <v>27.841000000000001</v>
          </cell>
          <cell r="K3">
            <v>27.3415</v>
          </cell>
          <cell r="L3">
            <v>27.4603</v>
          </cell>
          <cell r="M3">
            <v>27.761099999999999</v>
          </cell>
          <cell r="N3">
            <v>27.799900000000001</v>
          </cell>
          <cell r="O3">
            <v>27.658799999999999</v>
          </cell>
          <cell r="P3">
            <v>26.8263</v>
          </cell>
          <cell r="Q3">
            <v>27.242100000000001</v>
          </cell>
          <cell r="R3">
            <v>27.577500000000001</v>
          </cell>
          <cell r="S3">
            <v>27.626200000000001</v>
          </cell>
          <cell r="T3">
            <v>27.762699999999999</v>
          </cell>
          <cell r="U3">
            <v>27.724</v>
          </cell>
          <cell r="V3">
            <v>27.827200000000001</v>
          </cell>
          <cell r="W3">
            <v>28.142099999999999</v>
          </cell>
          <cell r="X3">
            <v>28.715800000000002</v>
          </cell>
          <cell r="Y3">
            <v>27.995899999999999</v>
          </cell>
        </row>
        <row r="4">
          <cell r="B4" t="str">
            <v>CHF</v>
          </cell>
          <cell r="C4">
            <v>28.575800000000001</v>
          </cell>
          <cell r="D4">
            <v>27.434999999999999</v>
          </cell>
          <cell r="E4">
            <v>24.5656</v>
          </cell>
          <cell r="F4">
            <v>27.5718</v>
          </cell>
          <cell r="G4">
            <v>27.657699999999998</v>
          </cell>
          <cell r="H4">
            <v>26.713000000000001</v>
          </cell>
          <cell r="I4">
            <v>26.531700000000001</v>
          </cell>
          <cell r="J4">
            <v>25.87</v>
          </cell>
          <cell r="K4">
            <v>25.768000000000001</v>
          </cell>
          <cell r="L4">
            <v>25.9848</v>
          </cell>
          <cell r="M4">
            <v>26.790199999999999</v>
          </cell>
          <cell r="N4">
            <v>27.316700000000001</v>
          </cell>
          <cell r="O4">
            <v>28.0776</v>
          </cell>
          <cell r="P4">
            <v>28.536100000000001</v>
          </cell>
          <cell r="Q4">
            <v>28.421399999999998</v>
          </cell>
          <cell r="R4">
            <v>30.142299999999999</v>
          </cell>
          <cell r="S4">
            <v>29.273199999999999</v>
          </cell>
          <cell r="T4">
            <v>29.3264</v>
          </cell>
          <cell r="U4">
            <v>29.374600000000001</v>
          </cell>
          <cell r="V4">
            <v>31.011299999999999</v>
          </cell>
          <cell r="W4">
            <v>31.700199999999999</v>
          </cell>
          <cell r="X4">
            <v>31.528500000000001</v>
          </cell>
          <cell r="Y4">
            <v>31.527699999999999</v>
          </cell>
        </row>
        <row r="5">
          <cell r="B5" t="str">
            <v>DEM</v>
          </cell>
          <cell r="C5">
            <v>23.665800000000001</v>
          </cell>
          <cell r="D5">
            <v>22.4588</v>
          </cell>
          <cell r="E5">
            <v>19.164400000000001</v>
          </cell>
          <cell r="F5">
            <v>20.895600000000002</v>
          </cell>
          <cell r="G5">
            <v>20.825900000000001</v>
          </cell>
          <cell r="H5">
            <v>20.09</v>
          </cell>
          <cell r="I5">
            <v>20.119199999999999</v>
          </cell>
          <cell r="J5">
            <v>19.643000000000001</v>
          </cell>
          <cell r="K5">
            <v>19.642299999999999</v>
          </cell>
          <cell r="L5">
            <v>19.664200000000001</v>
          </cell>
        </row>
        <row r="6">
          <cell r="B6" t="str">
            <v>EUR</v>
          </cell>
          <cell r="E6">
            <v>37.488599999999998</v>
          </cell>
          <cell r="F6">
            <v>40.884399999999999</v>
          </cell>
          <cell r="G6">
            <v>40.754600000000003</v>
          </cell>
          <cell r="H6">
            <v>39.311</v>
          </cell>
          <cell r="I6">
            <v>39.373600000000003</v>
          </cell>
          <cell r="J6">
            <v>38.192900000000002</v>
          </cell>
          <cell r="K6">
            <v>38.129199999999997</v>
          </cell>
          <cell r="L6">
            <v>38.201700000000002</v>
          </cell>
          <cell r="M6">
            <v>39.297800000000002</v>
          </cell>
          <cell r="N6">
            <v>40.032699999999998</v>
          </cell>
          <cell r="O6">
            <v>41.3857</v>
          </cell>
          <cell r="P6">
            <v>41.621899999999997</v>
          </cell>
          <cell r="Q6">
            <v>41.829300000000003</v>
          </cell>
          <cell r="R6">
            <v>42.504100000000001</v>
          </cell>
          <cell r="S6">
            <v>42.899700000000003</v>
          </cell>
          <cell r="T6">
            <v>42.999000000000002</v>
          </cell>
          <cell r="U6">
            <v>43.381799999999998</v>
          </cell>
          <cell r="V6">
            <v>45.103499999999997</v>
          </cell>
          <cell r="W6">
            <v>46.524299999999997</v>
          </cell>
          <cell r="X6">
            <v>46.150300000000001</v>
          </cell>
          <cell r="Y6">
            <v>46.253100000000003</v>
          </cell>
        </row>
        <row r="7">
          <cell r="B7" t="str">
            <v>FRF</v>
          </cell>
          <cell r="C7">
            <v>7.0660999999999996</v>
          </cell>
          <cell r="D7">
            <v>6.7004999999999999</v>
          </cell>
          <cell r="E7">
            <v>5.7206999999999999</v>
          </cell>
          <cell r="F7">
            <v>6.2313999999999998</v>
          </cell>
          <cell r="G7">
            <v>6.2112999999999996</v>
          </cell>
          <cell r="H7">
            <v>5.9923999999999999</v>
          </cell>
          <cell r="I7">
            <v>6.0025000000000004</v>
          </cell>
          <cell r="J7">
            <v>5.8776000000000002</v>
          </cell>
          <cell r="K7">
            <v>5.9127000000000001</v>
          </cell>
          <cell r="L7">
            <v>5.9051999999999998</v>
          </cell>
        </row>
        <row r="8">
          <cell r="B8" t="str">
            <v>JPY</v>
          </cell>
          <cell r="C8">
            <v>0.29289900000000002</v>
          </cell>
          <cell r="D8">
            <v>0.38723299999999999</v>
          </cell>
          <cell r="E8">
            <v>0.394594</v>
          </cell>
          <cell r="F8">
            <v>0.37472100000000003</v>
          </cell>
          <cell r="G8">
            <v>0.36864400000000003</v>
          </cell>
          <cell r="H8">
            <v>0.35756100000000002</v>
          </cell>
          <cell r="I8">
            <v>0.33906900000000001</v>
          </cell>
          <cell r="J8">
            <v>0.33300600000000002</v>
          </cell>
          <cell r="K8">
            <v>0.32812599999999997</v>
          </cell>
          <cell r="L8">
            <v>0.329542</v>
          </cell>
          <cell r="M8">
            <v>0.33921499999999999</v>
          </cell>
          <cell r="N8">
            <v>0.34570699999999999</v>
          </cell>
          <cell r="O8">
            <v>0.35020400000000002</v>
          </cell>
          <cell r="P8">
            <v>0.35276400000000002</v>
          </cell>
          <cell r="Q8">
            <v>0.36009999999999998</v>
          </cell>
          <cell r="R8">
            <v>0.36409999999999998</v>
          </cell>
          <cell r="S8">
            <v>0.35803699999999999</v>
          </cell>
          <cell r="T8">
            <v>0.354765</v>
          </cell>
          <cell r="U8">
            <v>0.35694999999999999</v>
          </cell>
          <cell r="V8">
            <v>0.36210300000000001</v>
          </cell>
          <cell r="W8">
            <v>0.36134500000000003</v>
          </cell>
          <cell r="X8">
            <v>0.36482900000000001</v>
          </cell>
          <cell r="Y8">
            <v>0.35897400000000002</v>
          </cell>
        </row>
        <row r="9">
          <cell r="B9" t="str">
            <v>KWD</v>
          </cell>
          <cell r="C9">
            <v>130.0616</v>
          </cell>
          <cell r="D9">
            <v>135.71080000000001</v>
          </cell>
          <cell r="E9">
            <v>138.04329999999999</v>
          </cell>
          <cell r="F9">
            <v>146.24199999999999</v>
          </cell>
          <cell r="G9">
            <v>146.58680000000001</v>
          </cell>
          <cell r="H9">
            <v>143.92339999999999</v>
          </cell>
          <cell r="I9">
            <v>144.44710000000001</v>
          </cell>
          <cell r="J9">
            <v>143.11590000000001</v>
          </cell>
          <cell r="K9">
            <v>142.34520000000001</v>
          </cell>
          <cell r="L9">
            <v>142.07749999999999</v>
          </cell>
          <cell r="M9">
            <v>142.03440000000001</v>
          </cell>
          <cell r="N9">
            <v>139.83949999999999</v>
          </cell>
          <cell r="O9">
            <v>138.11770000000001</v>
          </cell>
          <cell r="P9">
            <v>139.7157</v>
          </cell>
          <cell r="Q9">
            <v>140.2748</v>
          </cell>
          <cell r="R9">
            <v>142.5625</v>
          </cell>
          <cell r="S9">
            <v>143.84059999999999</v>
          </cell>
          <cell r="T9">
            <v>143.71530000000001</v>
          </cell>
          <cell r="U9">
            <v>144.07320000000001</v>
          </cell>
          <cell r="V9">
            <v>144.34630000000001</v>
          </cell>
          <cell r="W9">
            <v>143.44909999999999</v>
          </cell>
          <cell r="X9">
            <v>142.55600000000001</v>
          </cell>
          <cell r="Y9">
            <v>143.44909999999999</v>
          </cell>
        </row>
        <row r="10">
          <cell r="B10" t="str">
            <v>NLG</v>
          </cell>
          <cell r="C10">
            <v>21.003900000000002</v>
          </cell>
          <cell r="D10">
            <v>19.931699999999999</v>
          </cell>
          <cell r="E10">
            <v>17.011900000000001</v>
          </cell>
          <cell r="F10">
            <v>18.542999999999999</v>
          </cell>
          <cell r="G10">
            <v>18.4892</v>
          </cell>
          <cell r="H10">
            <v>17.834299999999999</v>
          </cell>
          <cell r="I10">
            <v>17.860399999999998</v>
          </cell>
          <cell r="J10">
            <v>17.449100000000001</v>
          </cell>
          <cell r="K10">
            <v>17.4848</v>
          </cell>
          <cell r="L10">
            <v>17.446200000000001</v>
          </cell>
        </row>
        <row r="11">
          <cell r="B11" t="str">
            <v>SAR</v>
          </cell>
          <cell r="C11">
            <v>10.524900000000001</v>
          </cell>
          <cell r="D11">
            <v>10.9696</v>
          </cell>
          <cell r="E11">
            <v>11.2957</v>
          </cell>
          <cell r="F11">
            <v>11.872999999999999</v>
          </cell>
          <cell r="G11">
            <v>11.9383</v>
          </cell>
          <cell r="H11">
            <v>11.767200000000001</v>
          </cell>
          <cell r="I11">
            <v>11.828900000000001</v>
          </cell>
          <cell r="J11">
            <v>11.7508</v>
          </cell>
          <cell r="K11">
            <v>11.6875</v>
          </cell>
          <cell r="L11">
            <v>11.631399999999999</v>
          </cell>
          <cell r="M11">
            <v>11.5594</v>
          </cell>
          <cell r="N11">
            <v>11.3398</v>
          </cell>
          <cell r="O11">
            <v>11.1111</v>
          </cell>
        </row>
        <row r="12">
          <cell r="B12" t="str">
            <v>THB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</row>
        <row r="13">
          <cell r="B13" t="str">
            <v>USD</v>
          </cell>
          <cell r="C13">
            <v>39.473700000000001</v>
          </cell>
          <cell r="D13">
            <v>41.133899999999997</v>
          </cell>
          <cell r="E13">
            <v>42.365499999999997</v>
          </cell>
          <cell r="F13">
            <v>44.530700000000003</v>
          </cell>
          <cell r="G13">
            <v>44.767600000000002</v>
          </cell>
          <cell r="H13">
            <v>44.126899999999999</v>
          </cell>
          <cell r="I13">
            <v>44.359699999999997</v>
          </cell>
          <cell r="J13">
            <v>44.065399999999997</v>
          </cell>
          <cell r="K13">
            <v>43.828099999999999</v>
          </cell>
          <cell r="L13">
            <v>43.617800000000003</v>
          </cell>
          <cell r="M13">
            <v>43.3489</v>
          </cell>
          <cell r="N13">
            <v>42.525199999999998</v>
          </cell>
          <cell r="O13">
            <v>41.670099999999998</v>
          </cell>
          <cell r="P13">
            <v>42.110300000000002</v>
          </cell>
          <cell r="Q13">
            <v>42.320900000000002</v>
          </cell>
          <cell r="R13">
            <v>43</v>
          </cell>
          <cell r="S13">
            <v>43.482999999999997</v>
          </cell>
          <cell r="T13">
            <v>43.416400000000003</v>
          </cell>
          <cell r="U13">
            <v>43.495699999999999</v>
          </cell>
          <cell r="V13">
            <v>43.303899999999999</v>
          </cell>
          <cell r="W13">
            <v>42.8626</v>
          </cell>
          <cell r="X13">
            <v>42.766800000000003</v>
          </cell>
          <cell r="Y13">
            <v>42.761000000000003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i 1P"/>
      <sheetName val="Thai 2p"/>
      <sheetName val="English 1P"/>
      <sheetName val="UD"/>
      <sheetName val="Diesel"/>
      <sheetName val="Fuel Oil 2%"/>
      <sheetName val="FO 2%Krabi"/>
      <sheetName val="Fuel Oi HHP"/>
      <sheetName val="Imported Coal"/>
      <sheetName val="Nutural Gas"/>
      <sheetName val="Heating Value"/>
      <sheetName val="Case 2NewIPP32Units"/>
      <sheetName val="Sheet3"/>
      <sheetName val="ราคาเชื้อเพลิง PTT_ 21กพ50_37บา"/>
      <sheetName val="Index"/>
      <sheetName val="Currency"/>
      <sheetName val="Energy Onshore"/>
      <sheetName val="Ref"/>
      <sheetName val="int45"/>
      <sheetName val="level_all"/>
      <sheetName val="report_allidc"/>
      <sheetName val="repay45"/>
      <sheetName val="Input_Allocate"/>
      <sheetName val="Cal_Project"/>
      <sheetName val="Dum_AllocateIDC"/>
      <sheetName val="april-retro"/>
      <sheetName val="ex.rate"/>
      <sheetName val="Assumptions"/>
      <sheetName val="norm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3">
          <cell r="C23">
            <v>37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รายงานPDP(thai-Eng)Adj"/>
      <sheetName val="รายงานPDP (thai-Eng)"/>
      <sheetName val="region-นครหลวง"/>
      <sheetName val="region-กลางตอนบน"/>
      <sheetName val="region-ตะวันตก"/>
      <sheetName val="region-ตะวันออก"/>
      <sheetName val="region-ตะวันออกเฉียงเหนือ"/>
      <sheetName val="region-ใต้"/>
      <sheetName val="region-เหนือ"/>
      <sheetName val="Hydro"/>
      <sheetName val="small-Hydro"/>
      <sheetName val="Thermal"/>
      <sheetName val="Combined-Cycle"/>
      <sheetName val="Gas-Turbine"/>
      <sheetName val="Diesel"/>
      <sheetName val="Alternative"/>
      <sheetName val="IPP"/>
      <sheetName val="SPP-Frim"/>
      <sheetName val="Purchased"/>
      <sheetName val="SPP-NonFrim"/>
      <sheetName val="SPP-COD-PDP"/>
      <sheetName val="สรุป-SPP"/>
      <sheetName val="dum-sheet"/>
      <sheetName val="SPP-COD-PDP (2)"/>
      <sheetName val="SPP-COD-PDP (3)"/>
      <sheetName val="SPP-COD-PDP (4)"/>
      <sheetName val="Heating Value"/>
      <sheetName val="dum_sheet"/>
      <sheetName val="Energy Onshore"/>
      <sheetName val="sub"/>
      <sheetName val="Input_Allocate"/>
      <sheetName val="Cal_Project"/>
      <sheetName val="Dum_AllocateIDC"/>
      <sheetName val="int45"/>
      <sheetName val="repay45"/>
      <sheetName val="level_all"/>
      <sheetName val="Sheet3"/>
      <sheetName val="Assumptions"/>
      <sheetName val="Existing Eng Thai_Jun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3">
          <cell r="B3" t="str">
            <v>Black Liquor</v>
          </cell>
          <cell r="C3" t="str">
            <v>พลังความร้อนร่วม</v>
          </cell>
        </row>
        <row r="4">
          <cell r="B4" t="str">
            <v>แกลบ และเศษไม้</v>
          </cell>
          <cell r="C4" t="str">
            <v>พลังความร้อน</v>
          </cell>
        </row>
        <row r="5">
          <cell r="B5" t="str">
            <v>กากอ้อย</v>
          </cell>
          <cell r="C5" t="str">
            <v>กังหันก๊าซ</v>
          </cell>
        </row>
        <row r="6">
          <cell r="B6" t="str">
            <v>ก๊าซธรรมชาติ</v>
          </cell>
          <cell r="C6" t="str">
            <v>พลังงานหมุนเวียน</v>
          </cell>
        </row>
        <row r="7">
          <cell r="B7" t="str">
            <v>ถ่านหิน</v>
          </cell>
        </row>
        <row r="8">
          <cell r="B8" t="str">
            <v>ทะลายปาล์ม ใยปาล์ม กะลาปาล์ม</v>
          </cell>
        </row>
        <row r="9">
          <cell r="B9" t="str">
            <v>น้ำมันเตา</v>
          </cell>
        </row>
        <row r="10">
          <cell r="B10" t="str">
            <v>ก๊าซธรรมชาติที่เป็นผลพลอยได้จากการผลิตน้ำมันดิบ</v>
          </cell>
        </row>
        <row r="11">
          <cell r="B11" t="str">
            <v>ขยะ</v>
          </cell>
        </row>
        <row r="12">
          <cell r="B12" t="str">
            <v>Waste Gas</v>
          </cell>
        </row>
      </sheetData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ssumption"/>
      <sheetName val="BaseCost"/>
      <sheetName val="Source_BaseCost"/>
      <sheetName val="FixCost"/>
      <sheetName val="Budget"/>
      <sheetName val="Detail_Proj"/>
      <sheetName val="Group"/>
      <sheetName val="Plant-Tran"/>
      <sheetName val="Note"/>
      <sheetName val="Cover"/>
      <sheetName val="Report_R01"/>
      <sheetName val="Report_R02"/>
      <sheetName val="Report_R03"/>
      <sheetName val="Report_R01(Before)"/>
      <sheetName val="Report_R02(Before)"/>
      <sheetName val="Report_R03(Before)"/>
      <sheetName val="Report_R01(After)"/>
      <sheetName val="Report_R02(After)"/>
      <sheetName val="Report_R03(After)"/>
      <sheetName val="Report_R01(After_USD)"/>
      <sheetName val="Report_R02(After_USD)"/>
      <sheetName val="Report_R03(After_USD)"/>
      <sheetName val="Summary(After)"/>
      <sheetName val="Report_R01(After_R)"/>
      <sheetName val="Report_R02(After_R)"/>
      <sheetName val="Report_R03(After_R)"/>
      <sheetName val="Comp"/>
      <sheetName val="TypeBus"/>
      <sheetName val="Plan_TO_Plan"/>
      <sheetName val="Sum_IDC_Proj"/>
      <sheetName val="Sum_IDC_Yearly"/>
      <sheetName val="IDC_Allocat"/>
      <sheetName val="AssetAssumption"/>
      <sheetName val="AssetSummary"/>
      <sheetName val="BookValue"/>
      <sheetName val="Detail"/>
      <sheetName val="Adj_Asset"/>
      <sheetName val="Adj_Land"/>
      <sheetName val="Adj_ROW"/>
      <sheetName val="Up_Asset_DamLine"/>
      <sheetName val="Up_Asset_PlantSub"/>
      <sheetName val="Up_Land"/>
      <sheetName val="Up_ROW"/>
      <sheetName val="Up_Total"/>
      <sheetName val="AccAddDepre_Asset_DamLine"/>
      <sheetName val="AccAddDepre_Asset_PlantSub"/>
      <sheetName val="AccAddDepre_ROW"/>
      <sheetName val="dum-sheet"/>
      <sheetName val="ForecastCusby_Month57-64"/>
      <sheetName val="Heating Value"/>
      <sheetName val="Sheet5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000_MBtu"/>
      <sheetName val="MainMenu"/>
      <sheetName val="1_Energy"/>
      <sheetName val="1_Chr_Energy"/>
      <sheetName val="1_InChr_Energy"/>
      <sheetName val="1_FuelReq"/>
      <sheetName val="2_Cap"/>
      <sheetName val="2_InChr_Cap"/>
      <sheetName val="GrossGen"/>
      <sheetName val="2_Chr_Cap"/>
      <sheetName val="3_GWh_Owner"/>
      <sheetName val="3_Chr_GWh_Owner"/>
      <sheetName val="4_MW_Owner"/>
      <sheetName val="4_Chr_MW_Owner"/>
      <sheetName val="GeneralData"/>
      <sheetName val="G_Energy"/>
      <sheetName val="G_Fuel"/>
      <sheetName val="Report_GWh"/>
      <sheetName val="Report_PF"/>
      <sheetName val="Shorten"/>
      <sheetName val="Sum_Energy"/>
      <sheetName val="G_HeatRate"/>
      <sheetName val="Report_MW"/>
      <sheetName val="Sum_Capacity"/>
      <sheetName val="Data_Chart"/>
      <sheetName val="Capacity_MW"/>
      <sheetName val="Gas"/>
      <sheetName val="Case1_Gas"/>
      <sheetName val="N_Energy"/>
      <sheetName val="Cal"/>
      <sheetName val="FuelRequire_Unit"/>
      <sheetName val="NetEnergy_GWh"/>
      <sheetName val="GrossGen_Cal"/>
      <sheetName val="StationService"/>
      <sheetName val="Start Up"/>
      <sheetName val="HeatRate"/>
      <sheetName val="Sys"/>
      <sheetName val="TypeFuel"/>
      <sheetName val="HeatContent"/>
      <sheetName val="Fuel"/>
      <sheetName val="AverageHeatRate"/>
      <sheetName val="N_Fuel"/>
      <sheetName val="N_HeatRate"/>
      <sheetName val="Assumptions"/>
      <sheetName val="FixCost"/>
      <sheetName val="ราคา"/>
      <sheetName val="Cash Flow"/>
      <sheetName val="level_all"/>
      <sheetName val="report_allidc"/>
      <sheetName val="ex.rate"/>
      <sheetName val="รายละเอียดidc"/>
      <sheetName val="repay45"/>
      <sheetName val="List"/>
      <sheetName val="int45"/>
      <sheetName val="Heating Value"/>
      <sheetName val="Sheet3"/>
      <sheetName val="normal"/>
      <sheetName val="dum-sheet"/>
      <sheetName val="Eb_PDP_2007_Base_Ministry_THBex"/>
    </sheetNames>
    <sheetDataSet>
      <sheetData sheetId="0" refreshError="1"/>
      <sheetData sheetId="1" refreshError="1">
        <row r="30">
          <cell r="B3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All_Thai"/>
      <sheetName val="Graph_C_Eng"/>
      <sheetName val="Graph_C_Thai"/>
      <sheetName val="Graph_N_Eng"/>
      <sheetName val="Graph_N_Thai"/>
      <sheetName val="Graph_NE_Eng"/>
      <sheetName val="Graph_NE_Thai"/>
      <sheetName val="Graph_S_Eng"/>
      <sheetName val="Graph_S_Thai"/>
      <sheetName val="Reserve_C"/>
      <sheetName val="Reserve_NE"/>
      <sheetName val="Reserve_S"/>
      <sheetName val="Reserve_N"/>
      <sheetName val="Reserve_dum_All"/>
      <sheetName val="Reserve_dum_C"/>
      <sheetName val="Reserve_dum_NE"/>
      <sheetName val="Reserve_dum_S"/>
      <sheetName val="Reserve_dum_N"/>
      <sheetName val="Install-(Dum)"/>
      <sheetName val="Dum"/>
      <sheetName val="Solution"/>
      <sheetName val="repay4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JAN</v>
          </cell>
          <cell r="B1">
            <v>1</v>
          </cell>
        </row>
        <row r="2">
          <cell r="A2" t="str">
            <v>FEB</v>
          </cell>
          <cell r="B2">
            <v>2</v>
          </cell>
        </row>
        <row r="3">
          <cell r="A3" t="str">
            <v>MAR</v>
          </cell>
          <cell r="B3">
            <v>3</v>
          </cell>
          <cell r="E3">
            <v>174</v>
          </cell>
          <cell r="F3">
            <v>273</v>
          </cell>
          <cell r="H3">
            <v>0.01</v>
          </cell>
          <cell r="I3">
            <v>15</v>
          </cell>
        </row>
        <row r="4">
          <cell r="A4" t="str">
            <v>APR</v>
          </cell>
          <cell r="B4">
            <v>4</v>
          </cell>
        </row>
        <row r="5">
          <cell r="A5" t="str">
            <v>MAY</v>
          </cell>
          <cell r="B5">
            <v>5</v>
          </cell>
        </row>
        <row r="6">
          <cell r="A6" t="str">
            <v>JUN</v>
          </cell>
          <cell r="B6">
            <v>6</v>
          </cell>
        </row>
        <row r="7">
          <cell r="A7" t="str">
            <v>JUL</v>
          </cell>
          <cell r="B7">
            <v>7</v>
          </cell>
        </row>
        <row r="8">
          <cell r="A8" t="str">
            <v>AUG</v>
          </cell>
          <cell r="B8">
            <v>8</v>
          </cell>
        </row>
        <row r="9">
          <cell r="A9" t="str">
            <v>SEP</v>
          </cell>
          <cell r="B9">
            <v>9</v>
          </cell>
        </row>
        <row r="10">
          <cell r="A10" t="str">
            <v>OCT</v>
          </cell>
          <cell r="B10">
            <v>10</v>
          </cell>
        </row>
        <row r="11">
          <cell r="A11" t="str">
            <v>NOV</v>
          </cell>
          <cell r="B11">
            <v>11</v>
          </cell>
        </row>
        <row r="12">
          <cell r="A12" t="str">
            <v>DEC</v>
          </cell>
          <cell r="B12">
            <v>12</v>
          </cell>
        </row>
      </sheetData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000_MBtu"/>
      <sheetName val="MainMenu"/>
      <sheetName val="Sum_GWh_Owner"/>
      <sheetName val="Sum_MW_Owner"/>
      <sheetName val="Report_MW"/>
      <sheetName val="3_MW_Owner"/>
      <sheetName val="3_Chr_MW_Owner"/>
      <sheetName val="Oper_Energy"/>
      <sheetName val="Oper_Fuel"/>
      <sheetName val="Oper_HR"/>
      <sheetName val="NetEnergy_GWh"/>
      <sheetName val="3_GWh_Owner"/>
      <sheetName val="3_Chr_GWh_Owner"/>
      <sheetName val="Data_Chart"/>
      <sheetName val="Gas"/>
      <sheetName val="Shorten"/>
      <sheetName val="GeneralData"/>
      <sheetName val="1_FuelReq"/>
      <sheetName val="N_Energy"/>
      <sheetName val="N_Fuel"/>
      <sheetName val="N_HeatRate"/>
      <sheetName val="Report_GWh"/>
      <sheetName val="Report_PF"/>
      <sheetName val="Capacity_MW"/>
      <sheetName val="FuelRequire_Unit"/>
      <sheetName val="AverageHeatRate"/>
      <sheetName val="Dum"/>
      <sheetName val="Solution"/>
      <sheetName val="Sheet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AY45"/>
      <sheetName val="Sheet5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กส."/>
      <sheetName val="รกส_"/>
      <sheetName val="T47-48"/>
      <sheetName val="MOF"/>
      <sheetName val="???."/>
      <sheetName val="___."/>
      <sheetName val="T47-48:MOF"/>
      <sheetName val="GeneralData"/>
      <sheetName val="T47-48_MO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Assumptions"/>
    </sheetNames>
    <sheetDataSet>
      <sheetData sheetId="0" refreshError="1">
        <row r="2">
          <cell r="B2" t="str">
            <v>BEF</v>
          </cell>
          <cell r="C2">
            <v>1.1537999999999999</v>
          </cell>
          <cell r="D2">
            <v>1.0946</v>
          </cell>
          <cell r="E2">
            <v>1.0376000000000001</v>
          </cell>
          <cell r="F2">
            <v>1.0822000000000001</v>
          </cell>
          <cell r="G2">
            <v>1.0535000000000001</v>
          </cell>
          <cell r="H2">
            <v>1.0317000000000001</v>
          </cell>
          <cell r="I2">
            <v>1.0095000000000001</v>
          </cell>
          <cell r="J2">
            <v>0.99080000000000001</v>
          </cell>
          <cell r="K2">
            <v>0.96640000000000004</v>
          </cell>
          <cell r="L2">
            <v>1.0356000000000001</v>
          </cell>
          <cell r="M2">
            <v>0.95409999999999995</v>
          </cell>
          <cell r="N2">
            <v>0.99550000000000005</v>
          </cell>
          <cell r="O2">
            <v>1.0102</v>
          </cell>
          <cell r="P2">
            <v>1.0911999999999999</v>
          </cell>
          <cell r="Q2">
            <v>1.0205</v>
          </cell>
          <cell r="R2">
            <v>0.98809999999999998</v>
          </cell>
          <cell r="S2">
            <v>0.95309999999999995</v>
          </cell>
          <cell r="T2">
            <v>0.9244</v>
          </cell>
          <cell r="U2">
            <v>0.9244</v>
          </cell>
          <cell r="V2">
            <v>0.91180000000000005</v>
          </cell>
          <cell r="W2">
            <v>0.87070000000000003</v>
          </cell>
          <cell r="X2">
            <v>0.91500000000000004</v>
          </cell>
          <cell r="Y2">
            <v>0.93969999999999998</v>
          </cell>
          <cell r="Z2">
            <v>0.96040000000000003</v>
          </cell>
          <cell r="AA2">
            <v>0.91859999999999997</v>
          </cell>
          <cell r="AB2">
            <v>0.93479999999999996</v>
          </cell>
        </row>
        <row r="3">
          <cell r="B3" t="str">
            <v>CAD</v>
          </cell>
          <cell r="C3">
            <v>26.154399999999999</v>
          </cell>
          <cell r="D3">
            <v>23.937100000000001</v>
          </cell>
          <cell r="E3">
            <v>23.690300000000001</v>
          </cell>
          <cell r="F3">
            <v>23.883600000000001</v>
          </cell>
          <cell r="G3">
            <v>24.462199999999999</v>
          </cell>
          <cell r="H3">
            <v>24.928599999999999</v>
          </cell>
          <cell r="I3">
            <v>25.091000000000001</v>
          </cell>
          <cell r="J3">
            <v>25.582999999999998</v>
          </cell>
          <cell r="K3">
            <v>25.286899999999999</v>
          </cell>
          <cell r="L3">
            <v>27.553599999999999</v>
          </cell>
          <cell r="M3">
            <v>25.146699999999999</v>
          </cell>
          <cell r="N3">
            <v>24.802499999999998</v>
          </cell>
          <cell r="O3">
            <v>25.847200000000001</v>
          </cell>
          <cell r="P3">
            <v>28.152799999999999</v>
          </cell>
          <cell r="Q3">
            <v>26.446400000000001</v>
          </cell>
          <cell r="R3">
            <v>26.664000000000001</v>
          </cell>
          <cell r="S3">
            <v>26.045500000000001</v>
          </cell>
          <cell r="T3">
            <v>26.15</v>
          </cell>
          <cell r="U3">
            <v>26.3263</v>
          </cell>
          <cell r="V3">
            <v>26.156600000000001</v>
          </cell>
          <cell r="W3">
            <v>25.9207</v>
          </cell>
          <cell r="X3">
            <v>26.1782</v>
          </cell>
          <cell r="Y3">
            <v>26.567799999999998</v>
          </cell>
          <cell r="Z3">
            <v>28.2392</v>
          </cell>
          <cell r="AA3">
            <v>27.873799999999999</v>
          </cell>
          <cell r="AB3">
            <v>28.326899999999998</v>
          </cell>
        </row>
        <row r="4">
          <cell r="B4" t="str">
            <v>CHF</v>
          </cell>
          <cell r="C4">
            <v>28.575800000000001</v>
          </cell>
          <cell r="D4">
            <v>27.587800000000001</v>
          </cell>
          <cell r="E4">
            <v>25.773</v>
          </cell>
          <cell r="F4">
            <v>27.1097</v>
          </cell>
          <cell r="G4">
            <v>26.305199999999999</v>
          </cell>
          <cell r="H4">
            <v>26.112100000000002</v>
          </cell>
          <cell r="I4">
            <v>25.442</v>
          </cell>
          <cell r="J4">
            <v>24.694600000000001</v>
          </cell>
          <cell r="K4">
            <v>24.482600000000001</v>
          </cell>
          <cell r="L4">
            <v>25.7316</v>
          </cell>
          <cell r="M4">
            <v>23.9374</v>
          </cell>
          <cell r="N4">
            <v>25.066199999999998</v>
          </cell>
          <cell r="O4">
            <v>25.279199999999999</v>
          </cell>
          <cell r="P4">
            <v>27.434999999999999</v>
          </cell>
          <cell r="Q4">
            <v>25.584199999999999</v>
          </cell>
          <cell r="R4">
            <v>24.7364</v>
          </cell>
          <cell r="S4">
            <v>23.709399999999999</v>
          </cell>
          <cell r="T4">
            <v>22.978300000000001</v>
          </cell>
          <cell r="U4">
            <v>23.037700000000001</v>
          </cell>
          <cell r="V4">
            <v>22.920400000000001</v>
          </cell>
          <cell r="W4">
            <v>22.1782</v>
          </cell>
          <cell r="X4">
            <v>23.354199999999999</v>
          </cell>
          <cell r="Y4">
            <v>24.089099999999998</v>
          </cell>
          <cell r="Z4">
            <v>24.889800000000001</v>
          </cell>
          <cell r="AA4">
            <v>23.7805</v>
          </cell>
          <cell r="AB4">
            <v>24.5656</v>
          </cell>
        </row>
        <row r="5">
          <cell r="B5" t="str">
            <v>DEM</v>
          </cell>
          <cell r="C5">
            <v>23.665800000000001</v>
          </cell>
          <cell r="D5">
            <v>22.425999999999998</v>
          </cell>
          <cell r="E5">
            <v>21.2531</v>
          </cell>
          <cell r="F5">
            <v>22.113399999999999</v>
          </cell>
          <cell r="G5">
            <v>21.682099999999998</v>
          </cell>
          <cell r="H5">
            <v>21.2273</v>
          </cell>
          <cell r="I5">
            <v>20.770299999999999</v>
          </cell>
          <cell r="J5">
            <v>20.368600000000001</v>
          </cell>
          <cell r="K5">
            <v>19.918600000000001</v>
          </cell>
          <cell r="L5">
            <v>21.178699999999999</v>
          </cell>
          <cell r="M5">
            <v>19.617100000000001</v>
          </cell>
          <cell r="N5">
            <v>20.462399999999999</v>
          </cell>
          <cell r="O5">
            <v>20.712700000000002</v>
          </cell>
          <cell r="P5">
            <v>22.4588</v>
          </cell>
          <cell r="Q5">
            <v>20.989599999999999</v>
          </cell>
          <cell r="R5">
            <v>20.2988</v>
          </cell>
          <cell r="S5">
            <v>19.482299999999999</v>
          </cell>
          <cell r="T5">
            <v>18.940300000000001</v>
          </cell>
          <cell r="U5">
            <v>18.951699999999999</v>
          </cell>
          <cell r="V5">
            <v>18.684799999999999</v>
          </cell>
          <cell r="W5">
            <v>17.8537</v>
          </cell>
          <cell r="X5">
            <v>18.776</v>
          </cell>
          <cell r="Y5">
            <v>19.202500000000001</v>
          </cell>
          <cell r="Z5">
            <v>19.738299999999999</v>
          </cell>
          <cell r="AA5">
            <v>18.825500000000002</v>
          </cell>
          <cell r="AB5">
            <v>19.164400000000001</v>
          </cell>
        </row>
        <row r="6">
          <cell r="B6" t="str">
            <v>FRF</v>
          </cell>
          <cell r="C6">
            <v>7.0660999999999996</v>
          </cell>
          <cell r="D6">
            <v>6.6962000000000002</v>
          </cell>
          <cell r="E6">
            <v>6.3490000000000002</v>
          </cell>
          <cell r="F6">
            <v>6.6054000000000004</v>
          </cell>
          <cell r="G6">
            <v>6.4629000000000003</v>
          </cell>
          <cell r="H6">
            <v>6.3312999999999997</v>
          </cell>
          <cell r="I6">
            <v>6.1961000000000004</v>
          </cell>
          <cell r="J6">
            <v>6.0763999999999996</v>
          </cell>
          <cell r="K6">
            <v>5.9423000000000004</v>
          </cell>
          <cell r="L6">
            <v>6.3419999999999996</v>
          </cell>
          <cell r="M6">
            <v>5.8548999999999998</v>
          </cell>
          <cell r="N6">
            <v>6.1025</v>
          </cell>
          <cell r="O6">
            <v>6.1801000000000004</v>
          </cell>
          <cell r="P6">
            <v>6.7004999999999999</v>
          </cell>
          <cell r="Q6">
            <v>6.2619999999999996</v>
          </cell>
          <cell r="R6">
            <v>6.0563000000000002</v>
          </cell>
          <cell r="S6">
            <v>5.8113000000000001</v>
          </cell>
          <cell r="T6">
            <v>5.6508000000000003</v>
          </cell>
          <cell r="U6">
            <v>5.6554000000000002</v>
          </cell>
          <cell r="V6">
            <v>5.5751999999999997</v>
          </cell>
          <cell r="W6">
            <v>5.3285</v>
          </cell>
          <cell r="X6">
            <v>5.6007999999999996</v>
          </cell>
          <cell r="Y6">
            <v>5.7328999999999999</v>
          </cell>
          <cell r="Z6">
            <v>5.8872999999999998</v>
          </cell>
          <cell r="AA6">
            <v>5.6173999999999999</v>
          </cell>
          <cell r="AB6">
            <v>5.7206999999999999</v>
          </cell>
        </row>
        <row r="7">
          <cell r="B7" t="str">
            <v>JPY</v>
          </cell>
          <cell r="C7">
            <v>0.29289900000000002</v>
          </cell>
          <cell r="D7">
            <v>0.32031100000000001</v>
          </cell>
          <cell r="E7">
            <v>0.29467300000000002</v>
          </cell>
          <cell r="F7">
            <v>0.32046599999999997</v>
          </cell>
          <cell r="G7">
            <v>0.32010499999999997</v>
          </cell>
          <cell r="H7">
            <v>0.31504300000000002</v>
          </cell>
          <cell r="I7">
            <v>0.315023</v>
          </cell>
          <cell r="J7">
            <v>0.314502</v>
          </cell>
          <cell r="K7">
            <v>0.30984</v>
          </cell>
          <cell r="L7">
            <v>0.296649</v>
          </cell>
          <cell r="M7">
            <v>0.30697099999999999</v>
          </cell>
          <cell r="N7">
            <v>0.323828</v>
          </cell>
          <cell r="O7">
            <v>0.34875499999999998</v>
          </cell>
          <cell r="P7">
            <v>0.38723299999999999</v>
          </cell>
          <cell r="Q7">
            <v>0.37206699999999998</v>
          </cell>
          <cell r="R7">
            <v>0.38519799999999998</v>
          </cell>
          <cell r="S7">
            <v>0.37087199999999998</v>
          </cell>
          <cell r="T7">
            <v>0.35395399999999999</v>
          </cell>
          <cell r="U7">
            <v>0.34860600000000003</v>
          </cell>
          <cell r="V7">
            <v>0.36121300000000001</v>
          </cell>
          <cell r="W7">
            <v>0.36019800000000002</v>
          </cell>
          <cell r="X7">
            <v>0.37065799999999999</v>
          </cell>
          <cell r="Y7">
            <v>0.37407600000000002</v>
          </cell>
          <cell r="Z7">
            <v>0.38193700000000003</v>
          </cell>
          <cell r="AA7">
            <v>0.38700000000000001</v>
          </cell>
          <cell r="AB7">
            <v>0.394594</v>
          </cell>
        </row>
        <row r="8">
          <cell r="B8" t="str">
            <v>KWD</v>
          </cell>
          <cell r="C8">
            <v>130.0616</v>
          </cell>
          <cell r="D8">
            <v>122.4928</v>
          </cell>
          <cell r="E8">
            <v>119.6198</v>
          </cell>
          <cell r="F8">
            <v>122.3143</v>
          </cell>
          <cell r="G8">
            <v>122.309</v>
          </cell>
          <cell r="H8">
            <v>123.24930000000001</v>
          </cell>
          <cell r="I8">
            <v>123.90649999999999</v>
          </cell>
          <cell r="J8">
            <v>122.3506</v>
          </cell>
          <cell r="K8">
            <v>121.55159999999999</v>
          </cell>
          <cell r="L8">
            <v>127.96559999999999</v>
          </cell>
          <cell r="M8">
            <v>120.6812</v>
          </cell>
          <cell r="N8">
            <v>122.114</v>
          </cell>
          <cell r="O8">
            <v>126.1271</v>
          </cell>
          <cell r="P8">
            <v>135.71080000000001</v>
          </cell>
          <cell r="Q8">
            <v>128.16159999999999</v>
          </cell>
          <cell r="R8">
            <v>128.70429999999999</v>
          </cell>
          <cell r="S8">
            <v>123.9639</v>
          </cell>
          <cell r="T8">
            <v>123.4682</v>
          </cell>
          <cell r="U8">
            <v>124.2542</v>
          </cell>
          <cell r="V8">
            <v>124.102</v>
          </cell>
          <cell r="W8">
            <v>124.1405</v>
          </cell>
          <cell r="X8">
            <v>127.9277</v>
          </cell>
          <cell r="Y8">
            <v>128.2269</v>
          </cell>
          <cell r="Z8">
            <v>135.2054</v>
          </cell>
          <cell r="AA8">
            <v>133.20679999999999</v>
          </cell>
          <cell r="AB8">
            <v>138.04329999999999</v>
          </cell>
        </row>
        <row r="9">
          <cell r="B9" t="str">
            <v>NLG</v>
          </cell>
          <cell r="C9">
            <v>21.003900000000002</v>
          </cell>
          <cell r="D9">
            <v>19.890999999999998</v>
          </cell>
          <cell r="E9">
            <v>18.859500000000001</v>
          </cell>
          <cell r="F9">
            <v>19.646999999999998</v>
          </cell>
          <cell r="G9">
            <v>19.230399999999999</v>
          </cell>
          <cell r="H9">
            <v>18.836099999999998</v>
          </cell>
          <cell r="I9">
            <v>18.4331</v>
          </cell>
          <cell r="J9">
            <v>18.075700000000001</v>
          </cell>
          <cell r="K9">
            <v>17.683199999999999</v>
          </cell>
          <cell r="L9">
            <v>18.816199999999998</v>
          </cell>
          <cell r="M9">
            <v>17.411799999999999</v>
          </cell>
          <cell r="N9">
            <v>18.1568</v>
          </cell>
          <cell r="O9">
            <v>18.3841</v>
          </cell>
          <cell r="P9">
            <v>19.931699999999999</v>
          </cell>
          <cell r="Q9">
            <v>18.633099999999999</v>
          </cell>
          <cell r="R9">
            <v>18.018799999999999</v>
          </cell>
          <cell r="S9">
            <v>17.2852</v>
          </cell>
          <cell r="T9">
            <v>16.815100000000001</v>
          </cell>
          <cell r="U9">
            <v>16.824000000000002</v>
          </cell>
          <cell r="V9">
            <v>16.584199999999999</v>
          </cell>
          <cell r="W9">
            <v>15.8492</v>
          </cell>
          <cell r="X9">
            <v>16.669</v>
          </cell>
          <cell r="Y9">
            <v>17.0457</v>
          </cell>
          <cell r="Z9">
            <v>17.515599999999999</v>
          </cell>
          <cell r="AA9">
            <v>16.7089</v>
          </cell>
          <cell r="AB9">
            <v>17.011900000000001</v>
          </cell>
        </row>
        <row r="10">
          <cell r="B10" t="str">
            <v>SAR</v>
          </cell>
          <cell r="C10">
            <v>10.524900000000001</v>
          </cell>
          <cell r="D10">
            <v>9.8470999999999993</v>
          </cell>
          <cell r="E10">
            <v>9.6641999999999992</v>
          </cell>
          <cell r="F10">
            <v>9.8364999999999991</v>
          </cell>
          <cell r="G10">
            <v>9.8651999999999997</v>
          </cell>
          <cell r="H10">
            <v>10.0077</v>
          </cell>
          <cell r="I10">
            <v>10.0769</v>
          </cell>
          <cell r="J10">
            <v>9.9602000000000004</v>
          </cell>
          <cell r="K10">
            <v>9.9239999999999995</v>
          </cell>
          <cell r="L10">
            <v>10.420999999999999</v>
          </cell>
          <cell r="M10">
            <v>9.8658000000000001</v>
          </cell>
          <cell r="N10">
            <v>9.9311000000000007</v>
          </cell>
          <cell r="O10">
            <v>10.2544</v>
          </cell>
          <cell r="P10">
            <v>10.9696</v>
          </cell>
          <cell r="Q10">
            <v>10.366300000000001</v>
          </cell>
          <cell r="R10">
            <v>10.4497</v>
          </cell>
          <cell r="S10">
            <v>10.055999999999999</v>
          </cell>
          <cell r="T10">
            <v>10.040699999999999</v>
          </cell>
          <cell r="U10">
            <v>10.1648</v>
          </cell>
          <cell r="V10">
            <v>10.122299999999999</v>
          </cell>
          <cell r="W10">
            <v>10.1784</v>
          </cell>
          <cell r="X10">
            <v>10.4719</v>
          </cell>
          <cell r="Y10">
            <v>10.4727</v>
          </cell>
          <cell r="Z10">
            <v>11.0923</v>
          </cell>
          <cell r="AA10">
            <v>10.939</v>
          </cell>
          <cell r="AB10">
            <v>11.2957</v>
          </cell>
        </row>
        <row r="11">
          <cell r="B11" t="str">
            <v>THB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1</v>
          </cell>
          <cell r="W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</row>
        <row r="12">
          <cell r="B12" t="str">
            <v>USD</v>
          </cell>
          <cell r="C12">
            <v>39.473700000000001</v>
          </cell>
          <cell r="D12">
            <v>36.931600000000003</v>
          </cell>
          <cell r="E12">
            <v>36.244799999999998</v>
          </cell>
          <cell r="F12">
            <v>36.89</v>
          </cell>
          <cell r="G12">
            <v>36.9985</v>
          </cell>
          <cell r="H12">
            <v>37.554099999999998</v>
          </cell>
          <cell r="I12">
            <v>37.791499999999999</v>
          </cell>
          <cell r="J12">
            <v>37.3536</v>
          </cell>
          <cell r="K12">
            <v>37.219099999999997</v>
          </cell>
          <cell r="L12">
            <v>39.0807</v>
          </cell>
          <cell r="M12">
            <v>37.000900000000001</v>
          </cell>
          <cell r="N12">
            <v>37.244799999999998</v>
          </cell>
          <cell r="O12">
            <v>38.456200000000003</v>
          </cell>
          <cell r="P12">
            <v>41.133899999999997</v>
          </cell>
          <cell r="Q12">
            <v>38.871400000000001</v>
          </cell>
          <cell r="R12">
            <v>39.1905</v>
          </cell>
          <cell r="S12">
            <v>37.709800000000001</v>
          </cell>
          <cell r="T12">
            <v>37.657800000000002</v>
          </cell>
          <cell r="U12">
            <v>38.121200000000002</v>
          </cell>
          <cell r="V12">
            <v>37.962800000000001</v>
          </cell>
          <cell r="W12">
            <v>38.173200000000001</v>
          </cell>
          <cell r="X12">
            <v>39.273800000000001</v>
          </cell>
          <cell r="Y12">
            <v>39.2759</v>
          </cell>
          <cell r="Z12">
            <v>41.602699999999999</v>
          </cell>
          <cell r="AA12">
            <v>41.027700000000003</v>
          </cell>
          <cell r="AB12">
            <v>42.365499999999997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1"/>
      <sheetName val="6.2"/>
      <sheetName val="RM_Th"/>
      <sheetName val="Plan_Report"/>
      <sheetName val="Sheet1"/>
      <sheetName val="General Data"/>
      <sheetName val="Purchase"/>
      <sheetName val="List"/>
      <sheetName val="GeneralData"/>
      <sheetName val="Dum"/>
      <sheetName val="RAT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C 2547-2548"/>
      <sheetName val="IDC 2547 (ปรับปรุง) "/>
      <sheetName val="SUM IDC"/>
      <sheetName val="รายละเอียดIDC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SEP"/>
      <sheetName val="OCT"/>
      <sheetName val="NOV"/>
      <sheetName val="DEC"/>
      <sheetName val="JAN"/>
      <sheetName val="FEB"/>
      <sheetName val="Sheet1"/>
      <sheetName val="MAR"/>
      <sheetName val="PI-APR"/>
      <sheetName val="APRIL"/>
      <sheetName val="MAY"/>
      <sheetName val="mar-98"/>
      <sheetName val="June"/>
      <sheetName val="July"/>
      <sheetName val="August"/>
      <sheetName val="September"/>
      <sheetName val="sum of currency-september"/>
      <sheetName val="Sheet3"/>
      <sheetName val="EACH-DI"/>
      <sheetName val="EACH-MA"/>
    </sheetNames>
    <sheetDataSet>
      <sheetData sheetId="0" refreshError="1">
        <row r="2">
          <cell r="B2" t="str">
            <v>BEF</v>
          </cell>
          <cell r="C2">
            <v>1.1537999999999999</v>
          </cell>
          <cell r="D2">
            <v>1.0946</v>
          </cell>
          <cell r="E2">
            <v>1.0376000000000001</v>
          </cell>
          <cell r="F2">
            <v>1.0822000000000001</v>
          </cell>
          <cell r="G2">
            <v>1.0535000000000001</v>
          </cell>
          <cell r="H2">
            <v>1.0317000000000001</v>
          </cell>
          <cell r="I2">
            <v>1.0095000000000001</v>
          </cell>
          <cell r="J2">
            <v>0.99080000000000001</v>
          </cell>
          <cell r="K2">
            <v>0.96640000000000004</v>
          </cell>
          <cell r="L2">
            <v>1.0356000000000001</v>
          </cell>
          <cell r="M2">
            <v>0.95409999999999995</v>
          </cell>
          <cell r="N2">
            <v>0.99550000000000005</v>
          </cell>
          <cell r="O2">
            <v>1.0102</v>
          </cell>
          <cell r="P2">
            <v>1.0911999999999999</v>
          </cell>
        </row>
        <row r="3">
          <cell r="B3" t="str">
            <v>CAD</v>
          </cell>
          <cell r="C3">
            <v>26.154399999999999</v>
          </cell>
          <cell r="D3">
            <v>23.937100000000001</v>
          </cell>
          <cell r="E3">
            <v>23.690300000000001</v>
          </cell>
          <cell r="F3">
            <v>23.883600000000001</v>
          </cell>
          <cell r="G3">
            <v>24.462199999999999</v>
          </cell>
          <cell r="H3">
            <v>24.928599999999999</v>
          </cell>
          <cell r="I3">
            <v>25.091000000000001</v>
          </cell>
          <cell r="J3">
            <v>25.582999999999998</v>
          </cell>
          <cell r="K3">
            <v>25.286899999999999</v>
          </cell>
          <cell r="L3">
            <v>27.553599999999999</v>
          </cell>
          <cell r="M3">
            <v>25.146699999999999</v>
          </cell>
          <cell r="N3">
            <v>24.802499999999998</v>
          </cell>
          <cell r="O3">
            <v>25.847200000000001</v>
          </cell>
          <cell r="P3">
            <v>28.152799999999999</v>
          </cell>
        </row>
        <row r="4">
          <cell r="B4" t="str">
            <v>CHF</v>
          </cell>
          <cell r="C4">
            <v>28.575800000000001</v>
          </cell>
          <cell r="D4">
            <v>27.587800000000001</v>
          </cell>
          <cell r="E4">
            <v>25.773</v>
          </cell>
          <cell r="F4">
            <v>27.1097</v>
          </cell>
          <cell r="G4">
            <v>26.305199999999999</v>
          </cell>
          <cell r="H4">
            <v>26.112100000000002</v>
          </cell>
          <cell r="I4">
            <v>25.442</v>
          </cell>
          <cell r="J4">
            <v>24.694600000000001</v>
          </cell>
          <cell r="K4">
            <v>24.482600000000001</v>
          </cell>
          <cell r="L4">
            <v>25.7316</v>
          </cell>
          <cell r="M4">
            <v>23.9374</v>
          </cell>
          <cell r="N4">
            <v>25.066199999999998</v>
          </cell>
          <cell r="O4">
            <v>25.279199999999999</v>
          </cell>
          <cell r="P4">
            <v>27.434999999999999</v>
          </cell>
        </row>
        <row r="5">
          <cell r="B5" t="str">
            <v>DEM</v>
          </cell>
          <cell r="C5">
            <v>23.665800000000001</v>
          </cell>
          <cell r="D5">
            <v>22.425999999999998</v>
          </cell>
          <cell r="E5">
            <v>21.2531</v>
          </cell>
          <cell r="F5">
            <v>22.113399999999999</v>
          </cell>
          <cell r="G5">
            <v>21.682099999999998</v>
          </cell>
          <cell r="H5">
            <v>21.2273</v>
          </cell>
          <cell r="I5">
            <v>20.770299999999999</v>
          </cell>
          <cell r="J5">
            <v>20.368600000000001</v>
          </cell>
          <cell r="K5">
            <v>19.918600000000001</v>
          </cell>
          <cell r="L5">
            <v>21.178699999999999</v>
          </cell>
          <cell r="M5">
            <v>19.617100000000001</v>
          </cell>
          <cell r="N5">
            <v>20.462399999999999</v>
          </cell>
          <cell r="O5">
            <v>20.712700000000002</v>
          </cell>
          <cell r="P5">
            <v>22.4588</v>
          </cell>
        </row>
        <row r="6">
          <cell r="B6" t="str">
            <v>FRF</v>
          </cell>
          <cell r="C6">
            <v>7.0660999999999996</v>
          </cell>
          <cell r="D6">
            <v>6.6962000000000002</v>
          </cell>
          <cell r="E6">
            <v>6.3490000000000002</v>
          </cell>
          <cell r="F6">
            <v>6.6054000000000004</v>
          </cell>
          <cell r="G6">
            <v>6.4629000000000003</v>
          </cell>
          <cell r="H6">
            <v>6.3312999999999997</v>
          </cell>
          <cell r="I6">
            <v>6.1961000000000004</v>
          </cell>
          <cell r="J6">
            <v>6.0763999999999996</v>
          </cell>
          <cell r="K6">
            <v>5.9423000000000004</v>
          </cell>
          <cell r="L6">
            <v>6.3419999999999996</v>
          </cell>
          <cell r="M6">
            <v>5.8548999999999998</v>
          </cell>
          <cell r="N6">
            <v>6.1025</v>
          </cell>
          <cell r="O6">
            <v>6.1801000000000004</v>
          </cell>
          <cell r="P6">
            <v>6.7004999999999999</v>
          </cell>
        </row>
        <row r="7">
          <cell r="B7" t="str">
            <v>JPY</v>
          </cell>
          <cell r="C7">
            <v>0.29289900000000002</v>
          </cell>
          <cell r="D7">
            <v>0.32031100000000001</v>
          </cell>
          <cell r="E7">
            <v>0.29467300000000002</v>
          </cell>
          <cell r="F7">
            <v>0.32046599999999997</v>
          </cell>
          <cell r="G7">
            <v>0.32010499999999997</v>
          </cell>
          <cell r="H7">
            <v>0.31504300000000002</v>
          </cell>
          <cell r="I7">
            <v>0.315023</v>
          </cell>
          <cell r="J7">
            <v>0.314502</v>
          </cell>
          <cell r="K7">
            <v>0.30984</v>
          </cell>
          <cell r="L7">
            <v>0.296649</v>
          </cell>
          <cell r="M7">
            <v>0.30697099999999999</v>
          </cell>
          <cell r="N7">
            <v>0.323828</v>
          </cell>
          <cell r="O7">
            <v>0.34875499999999998</v>
          </cell>
          <cell r="P7">
            <v>0.38723299999999999</v>
          </cell>
        </row>
        <row r="8">
          <cell r="B8" t="str">
            <v>KWD</v>
          </cell>
          <cell r="C8">
            <v>130.0616</v>
          </cell>
          <cell r="D8">
            <v>122.4928</v>
          </cell>
          <cell r="E8">
            <v>119.6198</v>
          </cell>
          <cell r="F8">
            <v>122.3143</v>
          </cell>
          <cell r="G8">
            <v>122.309</v>
          </cell>
          <cell r="H8">
            <v>123.24930000000001</v>
          </cell>
          <cell r="I8">
            <v>123.90649999999999</v>
          </cell>
          <cell r="J8">
            <v>122.3506</v>
          </cell>
          <cell r="K8">
            <v>121.55159999999999</v>
          </cell>
          <cell r="L8">
            <v>127.96559999999999</v>
          </cell>
          <cell r="M8">
            <v>120.6812</v>
          </cell>
          <cell r="N8">
            <v>122.114</v>
          </cell>
          <cell r="O8">
            <v>126.1271</v>
          </cell>
          <cell r="P8">
            <v>135.71080000000001</v>
          </cell>
        </row>
        <row r="9">
          <cell r="B9" t="str">
            <v>NLG</v>
          </cell>
          <cell r="C9">
            <v>21.003900000000002</v>
          </cell>
          <cell r="D9">
            <v>19.890999999999998</v>
          </cell>
          <cell r="E9">
            <v>18.859500000000001</v>
          </cell>
          <cell r="F9">
            <v>19.646999999999998</v>
          </cell>
          <cell r="G9">
            <v>19.230399999999999</v>
          </cell>
          <cell r="H9">
            <v>18.836099999999998</v>
          </cell>
          <cell r="I9">
            <v>18.4331</v>
          </cell>
          <cell r="J9">
            <v>18.075700000000001</v>
          </cell>
          <cell r="K9">
            <v>17.683199999999999</v>
          </cell>
          <cell r="L9">
            <v>18.816199999999998</v>
          </cell>
          <cell r="M9">
            <v>17.411799999999999</v>
          </cell>
          <cell r="N9">
            <v>18.1568</v>
          </cell>
          <cell r="O9">
            <v>18.3841</v>
          </cell>
          <cell r="P9">
            <v>19.931699999999999</v>
          </cell>
        </row>
        <row r="10">
          <cell r="B10" t="str">
            <v>SAR</v>
          </cell>
          <cell r="C10">
            <v>10.524900000000001</v>
          </cell>
          <cell r="D10">
            <v>9.8470999999999993</v>
          </cell>
          <cell r="E10">
            <v>9.6641999999999992</v>
          </cell>
          <cell r="F10">
            <v>9.8364999999999991</v>
          </cell>
          <cell r="G10">
            <v>9.8651999999999997</v>
          </cell>
          <cell r="H10">
            <v>10.0077</v>
          </cell>
          <cell r="I10">
            <v>10.0769</v>
          </cell>
          <cell r="J10">
            <v>9.9602000000000004</v>
          </cell>
          <cell r="K10">
            <v>9.9239999999999995</v>
          </cell>
          <cell r="L10">
            <v>10.420999999999999</v>
          </cell>
          <cell r="M10">
            <v>9.8658000000000001</v>
          </cell>
          <cell r="N10">
            <v>9.9311000000000007</v>
          </cell>
          <cell r="O10">
            <v>10.2544</v>
          </cell>
          <cell r="P10">
            <v>10.9696</v>
          </cell>
        </row>
        <row r="11">
          <cell r="B11" t="str">
            <v>THB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</row>
        <row r="12">
          <cell r="B12" t="str">
            <v>USD</v>
          </cell>
          <cell r="C12">
            <v>39.473700000000001</v>
          </cell>
          <cell r="D12">
            <v>36.931600000000003</v>
          </cell>
          <cell r="E12">
            <v>36.244799999999998</v>
          </cell>
          <cell r="F12">
            <v>36.89</v>
          </cell>
          <cell r="G12">
            <v>36.9985</v>
          </cell>
          <cell r="H12">
            <v>37.554099999999998</v>
          </cell>
          <cell r="I12">
            <v>37.791499999999999</v>
          </cell>
          <cell r="J12">
            <v>37.3536</v>
          </cell>
          <cell r="K12">
            <v>37.219099999999997</v>
          </cell>
          <cell r="L12">
            <v>39.0807</v>
          </cell>
          <cell r="M12">
            <v>37.000900000000001</v>
          </cell>
          <cell r="N12">
            <v>37.244799999999998</v>
          </cell>
          <cell r="O12">
            <v>38.456200000000003</v>
          </cell>
          <cell r="P12">
            <v>41.133899999999997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ecar.egat.co.th/medias/REGISTRATION_BOOK/864c4d728ea78b1fd093978f6d150ebd.pdf" TargetMode="External"/><Relationship Id="rId13" Type="http://schemas.openxmlformats.org/officeDocument/2006/relationships/hyperlink" Target="http://ecar.egat.co.th/medias/REGISTRATION_BOOK/97315c0be44eedc8a2765c01385e1952.pdf" TargetMode="External"/><Relationship Id="rId18" Type="http://schemas.openxmlformats.org/officeDocument/2006/relationships/hyperlink" Target="http://ecar.egat.co.th/medias/REGISTRATION_BOOK/69fafd347b0cd19cfa1069e394849894.pdf" TargetMode="External"/><Relationship Id="rId26" Type="http://schemas.openxmlformats.org/officeDocument/2006/relationships/hyperlink" Target="http://ecar.egat.co.th/medias/REGISTRATION_BOOK/1fd5e6ffdc52c3dd8de87463615e9050.pdf" TargetMode="External"/><Relationship Id="rId3" Type="http://schemas.openxmlformats.org/officeDocument/2006/relationships/hyperlink" Target="http://ecar.egat.co.th/medias/REGISTRATION_BOOK/5096e60feb4b72300033204b13205922.pdf" TargetMode="External"/><Relationship Id="rId21" Type="http://schemas.openxmlformats.org/officeDocument/2006/relationships/hyperlink" Target="http://ecar.egat.co.th/medias/REGISTRATION_BOOK/1ff7dc27d8ee5a4107461cdc26582ffd.pdf" TargetMode="External"/><Relationship Id="rId7" Type="http://schemas.openxmlformats.org/officeDocument/2006/relationships/hyperlink" Target="http://ecar.egat.co.th/medias/REGISTRATION_BOOK/74f8e718b0425996d101bdee18e347b0.pdf" TargetMode="External"/><Relationship Id="rId12" Type="http://schemas.openxmlformats.org/officeDocument/2006/relationships/hyperlink" Target="http://ecar.egat.co.th/medias/REGISTRATION_BOOK/2df97b60aa58301fd2165a2c8148e9f9.pdf" TargetMode="External"/><Relationship Id="rId17" Type="http://schemas.openxmlformats.org/officeDocument/2006/relationships/hyperlink" Target="http://ecar.egat.co.th/medias/REGISTRATION_BOOK/88a1e2d8ede0cdb2e7363c69e5a3c301.pdf" TargetMode="External"/><Relationship Id="rId25" Type="http://schemas.openxmlformats.org/officeDocument/2006/relationships/hyperlink" Target="http://ecar.egat.co.th/medias/REGISTRATION_BOOK/9b5f63287699ca481e0586be5e570731.pdf" TargetMode="External"/><Relationship Id="rId2" Type="http://schemas.openxmlformats.org/officeDocument/2006/relationships/hyperlink" Target="http://ecar.egat.co.th/medias/REGISTRATION_BOOK/8f41ce6f24f82e76b8ab596cc227747a.pdf" TargetMode="External"/><Relationship Id="rId16" Type="http://schemas.openxmlformats.org/officeDocument/2006/relationships/hyperlink" Target="http://ecar.egat.co.th/medias/REGISTRATION_BOOK/48e180c2981e865769d43ba875b93196.pdf" TargetMode="External"/><Relationship Id="rId20" Type="http://schemas.openxmlformats.org/officeDocument/2006/relationships/hyperlink" Target="http://ecar.egat.co.th/medias/REGISTRATION_BOOK/cf2fdca402d6dd5fc6838bea6ada9189.pdf" TargetMode="External"/><Relationship Id="rId29" Type="http://schemas.openxmlformats.org/officeDocument/2006/relationships/hyperlink" Target="http://ecar.egat.co.th/medias/REGISTRATION_BOOK/64a8f88ca91f6e4f3fddc2edaf58e3c1.pdf" TargetMode="External"/><Relationship Id="rId1" Type="http://schemas.openxmlformats.org/officeDocument/2006/relationships/hyperlink" Target="http://ecar.egat.co.th/medias/REGISTRATION_BOOK/bb1624f04db1b3b1d2aff9fd05dd7738.pdf" TargetMode="External"/><Relationship Id="rId6" Type="http://schemas.openxmlformats.org/officeDocument/2006/relationships/hyperlink" Target="http://ecar.egat.co.th/medias/REGISTRATION_BOOK/2d5d9e44ec65923c1851616b253f3c63.pdf" TargetMode="External"/><Relationship Id="rId11" Type="http://schemas.openxmlformats.org/officeDocument/2006/relationships/hyperlink" Target="http://ecar.egat.co.th/medias/REGISTRATION_BOOK/8e93efe5ce8612ac290a9719c17679b9.pdf" TargetMode="External"/><Relationship Id="rId24" Type="http://schemas.openxmlformats.org/officeDocument/2006/relationships/hyperlink" Target="http://ecar.egat.co.th/medias/REGISTRATION_BOOK/61bf49c5c8d94edadcd1066f55d2d003.pdf" TargetMode="External"/><Relationship Id="rId5" Type="http://schemas.openxmlformats.org/officeDocument/2006/relationships/hyperlink" Target="http://ecar.egat.co.th/medias/REGISTRATION_BOOK/76374fcbbe1b9153ff5df858621a9976.pdf" TargetMode="External"/><Relationship Id="rId15" Type="http://schemas.openxmlformats.org/officeDocument/2006/relationships/hyperlink" Target="http://ecar.egat.co.th/medias/REGISTRATION_BOOK/b391f8923864c3a1e3a8039d021260d6.pdf" TargetMode="External"/><Relationship Id="rId23" Type="http://schemas.openxmlformats.org/officeDocument/2006/relationships/hyperlink" Target="http://ecar.egat.co.th/medias/REGISTRATION_BOOK/2df390985994065745e18f70f5b78542.pdf" TargetMode="External"/><Relationship Id="rId28" Type="http://schemas.openxmlformats.org/officeDocument/2006/relationships/hyperlink" Target="http://ecar.egat.co.th/medias/REGISTRATION_BOOK/70af84dd98d6ff9feaffb9c9ab811220.pdf" TargetMode="External"/><Relationship Id="rId10" Type="http://schemas.openxmlformats.org/officeDocument/2006/relationships/hyperlink" Target="http://ecar.egat.co.th/medias/REGISTRATION_BOOK/9d89d20ab7a09322bbf1bc13055ab202.pdf" TargetMode="External"/><Relationship Id="rId19" Type="http://schemas.openxmlformats.org/officeDocument/2006/relationships/hyperlink" Target="http://ecar.egat.co.th/medias/REGISTRATION_BOOK/d4706564f632cedabd416c17b07b1ac7.pdf" TargetMode="External"/><Relationship Id="rId4" Type="http://schemas.openxmlformats.org/officeDocument/2006/relationships/hyperlink" Target="http://ecar.egat.co.th/medias/REGISTRATION_BOOK/9692c2c82093a1409b0f63eb60bb2efe.pdf" TargetMode="External"/><Relationship Id="rId9" Type="http://schemas.openxmlformats.org/officeDocument/2006/relationships/hyperlink" Target="http://ecar.egat.co.th/medias/REGISTRATION_BOOK/5dc07908f953c889ad61b7cf6fd55ae5.pdf" TargetMode="External"/><Relationship Id="rId14" Type="http://schemas.openxmlformats.org/officeDocument/2006/relationships/hyperlink" Target="http://ecar.egat.co.th/medias/REGISTRATION_BOOK/64a8f88ca91f6e4f3fddc2edaf58e3c1.pdf" TargetMode="External"/><Relationship Id="rId22" Type="http://schemas.openxmlformats.org/officeDocument/2006/relationships/hyperlink" Target="http://ecar.egat.co.th/medias/REGISTRATION_BOOK/120c32c4507dd5ce14260399c62f7118.pdf" TargetMode="External"/><Relationship Id="rId27" Type="http://schemas.openxmlformats.org/officeDocument/2006/relationships/hyperlink" Target="http://ecar.egat.co.th/medias/REGISTRATION_BOOK/00ff00cb44877832071a1c169b26daaf.pdf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tiamtin.com/www/SpecLink/PC200_7a.pdf" TargetMode="External"/><Relationship Id="rId1" Type="http://schemas.openxmlformats.org/officeDocument/2006/relationships/hyperlink" Target="https://www.metrocat.com/th/CAT320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5584-8ADE-4162-8DB8-D5BD95FB14FA}">
  <sheetPr>
    <tabColor theme="4" tint="0.79998168889431442"/>
  </sheetPr>
  <dimension ref="A1:AB54"/>
  <sheetViews>
    <sheetView tabSelected="1" zoomScale="85" zoomScaleNormal="85" workbookViewId="0">
      <pane xSplit="4" topLeftCell="E1" activePane="topRight" state="frozen"/>
      <selection pane="topRight" activeCell="V6" sqref="V6"/>
    </sheetView>
  </sheetViews>
  <sheetFormatPr defaultColWidth="8.90625" defaultRowHeight="23.4" customHeight="1"/>
  <cols>
    <col min="1" max="1" width="12.36328125" style="64" customWidth="1"/>
    <col min="2" max="2" width="10.08984375" style="46" bestFit="1" customWidth="1"/>
    <col min="3" max="3" width="26.36328125" style="65" bestFit="1" customWidth="1"/>
    <col min="4" max="4" width="17.453125" style="46" customWidth="1"/>
    <col min="5" max="5" width="13.90625" style="46" customWidth="1"/>
    <col min="6" max="6" width="34.08984375" style="46" bestFit="1" customWidth="1"/>
    <col min="7" max="7" width="36.36328125" style="46" bestFit="1" customWidth="1"/>
    <col min="8" max="8" width="38.08984375" style="46" bestFit="1" customWidth="1"/>
    <col min="9" max="12" width="19.54296875" style="64" customWidth="1"/>
    <col min="13" max="15" width="18.36328125" style="64" customWidth="1"/>
    <col min="16" max="17" width="19.54296875" style="46" customWidth="1"/>
    <col min="18" max="19" width="27.36328125" style="46" bestFit="1" customWidth="1"/>
    <col min="20" max="20" width="8.6328125" style="46" customWidth="1"/>
    <col min="21" max="21" width="22.90625" style="46" bestFit="1" customWidth="1"/>
    <col min="22" max="22" width="17.08984375" style="46" bestFit="1" customWidth="1"/>
    <col min="23" max="23" width="15.90625" style="46" customWidth="1"/>
    <col min="24" max="25" width="16.90625" style="46" customWidth="1"/>
    <col min="26" max="26" width="20.6328125" style="64" bestFit="1" customWidth="1"/>
    <col min="27" max="27" width="9.6328125" style="64" customWidth="1"/>
    <col min="28" max="28" width="15" style="46" customWidth="1"/>
    <col min="29" max="16384" width="8.90625" style="46"/>
  </cols>
  <sheetData>
    <row r="1" spans="1:28" s="114" customFormat="1" ht="57" customHeight="1">
      <c r="A1" s="117" t="s">
        <v>0</v>
      </c>
      <c r="B1" s="117" t="s">
        <v>261</v>
      </c>
      <c r="C1" s="118" t="s">
        <v>496</v>
      </c>
      <c r="D1" s="117" t="s">
        <v>217</v>
      </c>
      <c r="E1" s="117" t="s">
        <v>262</v>
      </c>
      <c r="F1" s="117" t="s">
        <v>263</v>
      </c>
      <c r="G1" s="117"/>
      <c r="H1" s="117"/>
      <c r="I1" s="117" t="s">
        <v>498</v>
      </c>
      <c r="J1" s="117" t="s">
        <v>507</v>
      </c>
      <c r="K1" s="119" t="s">
        <v>510</v>
      </c>
      <c r="L1" s="119" t="s">
        <v>511</v>
      </c>
      <c r="M1" s="120" t="s">
        <v>512</v>
      </c>
      <c r="N1" s="120" t="s">
        <v>513</v>
      </c>
      <c r="O1" s="120" t="s">
        <v>514</v>
      </c>
      <c r="P1" s="119" t="s">
        <v>503</v>
      </c>
      <c r="Q1" s="119" t="s">
        <v>509</v>
      </c>
      <c r="R1" s="119" t="s">
        <v>508</v>
      </c>
      <c r="S1" s="119" t="s">
        <v>504</v>
      </c>
      <c r="T1" s="117"/>
      <c r="U1" s="117"/>
      <c r="V1" s="117" t="s">
        <v>264</v>
      </c>
      <c r="W1" s="117" t="s">
        <v>265</v>
      </c>
      <c r="X1" s="121" t="s">
        <v>497</v>
      </c>
      <c r="Y1" s="121" t="s">
        <v>411</v>
      </c>
      <c r="Z1" s="114" t="s">
        <v>404</v>
      </c>
      <c r="AA1" s="114" t="s">
        <v>480</v>
      </c>
      <c r="AB1" s="114" t="s">
        <v>481</v>
      </c>
    </row>
    <row r="2" spans="1:28" ht="23.4" customHeight="1">
      <c r="A2" s="47">
        <v>1</v>
      </c>
      <c r="B2" s="48" t="s">
        <v>3</v>
      </c>
      <c r="C2" s="49" t="s">
        <v>218</v>
      </c>
      <c r="D2" s="48" t="s">
        <v>283</v>
      </c>
      <c r="E2" s="48" t="s">
        <v>268</v>
      </c>
      <c r="F2" s="48" t="s">
        <v>284</v>
      </c>
      <c r="G2" s="11" t="s">
        <v>27</v>
      </c>
      <c r="H2" s="13" t="s">
        <v>29</v>
      </c>
      <c r="I2" s="51" t="s">
        <v>505</v>
      </c>
      <c r="J2" s="51"/>
      <c r="K2" s="51"/>
      <c r="L2" s="51"/>
      <c r="M2" s="51"/>
      <c r="N2" s="51"/>
      <c r="O2" s="51"/>
      <c r="P2" s="51"/>
      <c r="Q2" s="51" t="s">
        <v>499</v>
      </c>
      <c r="R2" s="51"/>
      <c r="S2" s="51"/>
      <c r="T2" s="51" t="s">
        <v>285</v>
      </c>
      <c r="U2" s="52" t="s">
        <v>30</v>
      </c>
      <c r="V2" s="48" t="s">
        <v>286</v>
      </c>
      <c r="W2" s="48" t="s">
        <v>271</v>
      </c>
      <c r="X2" s="112"/>
      <c r="Y2" s="112"/>
      <c r="Z2" s="64" t="s">
        <v>437</v>
      </c>
      <c r="AA2" s="64">
        <v>9</v>
      </c>
      <c r="AB2" s="88">
        <v>1600</v>
      </c>
    </row>
    <row r="3" spans="1:28" ht="23.4" customHeight="1">
      <c r="A3" s="47">
        <v>2</v>
      </c>
      <c r="B3" s="48" t="s">
        <v>3</v>
      </c>
      <c r="C3" s="49" t="s">
        <v>303</v>
      </c>
      <c r="D3" s="48" t="s">
        <v>304</v>
      </c>
      <c r="E3" s="48" t="s">
        <v>305</v>
      </c>
      <c r="F3" s="48" t="s">
        <v>284</v>
      </c>
      <c r="G3" s="48" t="s">
        <v>487</v>
      </c>
      <c r="H3" s="48" t="s">
        <v>486</v>
      </c>
      <c r="I3" s="48"/>
      <c r="J3" s="48"/>
      <c r="K3" s="48"/>
      <c r="L3" s="48"/>
      <c r="M3" s="48"/>
      <c r="N3" s="48"/>
      <c r="O3" s="48"/>
      <c r="P3" s="48"/>
      <c r="Q3" s="48" t="s">
        <v>500</v>
      </c>
      <c r="R3" s="48"/>
      <c r="S3" s="48"/>
      <c r="T3" s="48" t="s">
        <v>288</v>
      </c>
      <c r="U3" s="48" t="s">
        <v>306</v>
      </c>
      <c r="V3" s="48" t="s">
        <v>307</v>
      </c>
      <c r="W3" s="48" t="s">
        <v>271</v>
      </c>
      <c r="X3" s="112"/>
      <c r="Y3" s="112"/>
      <c r="Z3" s="87">
        <v>245021</v>
      </c>
      <c r="AA3" s="64">
        <v>3</v>
      </c>
    </row>
    <row r="4" spans="1:28" ht="23.4" customHeight="1">
      <c r="A4" s="47">
        <v>3</v>
      </c>
      <c r="B4" s="48" t="s">
        <v>3</v>
      </c>
      <c r="C4" s="48" t="s">
        <v>277</v>
      </c>
      <c r="D4" s="48" t="s">
        <v>278</v>
      </c>
      <c r="E4" s="48" t="s">
        <v>274</v>
      </c>
      <c r="F4" s="48" t="s">
        <v>279</v>
      </c>
      <c r="G4" s="48" t="s">
        <v>54</v>
      </c>
      <c r="H4" s="48" t="s">
        <v>493</v>
      </c>
      <c r="I4" s="48"/>
      <c r="J4" s="48"/>
      <c r="K4" s="48"/>
      <c r="L4" s="48"/>
      <c r="M4" s="48"/>
      <c r="N4" s="48"/>
      <c r="O4" s="48"/>
      <c r="P4" s="48"/>
      <c r="Q4" s="48" t="s">
        <v>501</v>
      </c>
      <c r="R4" s="48"/>
      <c r="S4" s="48"/>
      <c r="T4" s="48" t="s">
        <v>280</v>
      </c>
      <c r="U4" s="48" t="s">
        <v>281</v>
      </c>
      <c r="V4" s="48" t="s">
        <v>282</v>
      </c>
      <c r="W4" s="48" t="s">
        <v>271</v>
      </c>
      <c r="X4" s="112"/>
      <c r="Y4" s="112"/>
      <c r="Z4" s="64" t="s">
        <v>452</v>
      </c>
      <c r="AA4" s="64">
        <v>10</v>
      </c>
      <c r="AB4" s="88">
        <v>1300</v>
      </c>
    </row>
    <row r="5" spans="1:28" ht="23.4" customHeight="1">
      <c r="A5" s="47">
        <v>4</v>
      </c>
      <c r="B5" s="48" t="s">
        <v>3</v>
      </c>
      <c r="C5" s="49" t="s">
        <v>231</v>
      </c>
      <c r="D5" s="48" t="s">
        <v>338</v>
      </c>
      <c r="E5" s="48" t="s">
        <v>336</v>
      </c>
      <c r="F5" s="48" t="s">
        <v>64</v>
      </c>
      <c r="G5" s="53" t="s">
        <v>64</v>
      </c>
      <c r="H5" s="16" t="s">
        <v>68</v>
      </c>
      <c r="I5" s="73"/>
      <c r="J5" s="73"/>
      <c r="K5" s="73"/>
      <c r="L5" s="73"/>
      <c r="M5" s="73"/>
      <c r="N5" s="73"/>
      <c r="O5" s="73"/>
      <c r="P5" s="73"/>
      <c r="Q5" s="73" t="s">
        <v>502</v>
      </c>
      <c r="R5" s="73"/>
      <c r="S5" s="73"/>
      <c r="T5" s="51" t="s">
        <v>285</v>
      </c>
      <c r="U5" s="55" t="s">
        <v>15</v>
      </c>
      <c r="V5" s="48" t="s">
        <v>339</v>
      </c>
      <c r="W5" s="48" t="s">
        <v>271</v>
      </c>
      <c r="X5" s="112"/>
      <c r="Y5" s="112"/>
      <c r="Z5" s="64" t="s">
        <v>483</v>
      </c>
      <c r="AA5" s="64">
        <v>5</v>
      </c>
    </row>
    <row r="6" spans="1:28" ht="23.4" customHeight="1">
      <c r="A6" s="47">
        <v>5</v>
      </c>
      <c r="B6" s="48" t="s">
        <v>3</v>
      </c>
      <c r="C6" s="49" t="s">
        <v>247</v>
      </c>
      <c r="D6" s="48" t="s">
        <v>365</v>
      </c>
      <c r="E6" s="48" t="s">
        <v>268</v>
      </c>
      <c r="F6" s="48" t="s">
        <v>342</v>
      </c>
      <c r="G6" s="56" t="s">
        <v>106</v>
      </c>
      <c r="H6" s="57" t="s">
        <v>145</v>
      </c>
      <c r="I6" s="56"/>
      <c r="J6" s="56"/>
      <c r="K6" s="56"/>
      <c r="L6" s="56"/>
      <c r="M6" s="56"/>
      <c r="N6" s="56"/>
      <c r="O6" s="56"/>
      <c r="P6" s="57"/>
      <c r="Q6" s="56" t="s">
        <v>506</v>
      </c>
      <c r="R6" s="57"/>
      <c r="S6" s="57"/>
      <c r="T6" s="51" t="s">
        <v>285</v>
      </c>
      <c r="U6" s="58" t="s">
        <v>15</v>
      </c>
      <c r="V6" s="48" t="s">
        <v>366</v>
      </c>
      <c r="W6" s="48" t="s">
        <v>320</v>
      </c>
      <c r="X6" s="112"/>
      <c r="Y6" s="112"/>
      <c r="Z6" s="64" t="s">
        <v>495</v>
      </c>
      <c r="AA6" s="64">
        <v>6</v>
      </c>
    </row>
    <row r="7" spans="1:28" ht="23.4" customHeight="1">
      <c r="A7" s="47">
        <v>6</v>
      </c>
      <c r="B7" s="48" t="s">
        <v>3</v>
      </c>
      <c r="C7" s="49" t="s">
        <v>238</v>
      </c>
      <c r="D7" s="48" t="s">
        <v>351</v>
      </c>
      <c r="E7" s="48" t="s">
        <v>268</v>
      </c>
      <c r="F7" s="48" t="s">
        <v>342</v>
      </c>
      <c r="G7" s="56" t="s">
        <v>90</v>
      </c>
      <c r="H7" s="57" t="s">
        <v>121</v>
      </c>
      <c r="I7" s="56"/>
      <c r="J7" s="56"/>
      <c r="K7" s="56"/>
      <c r="L7" s="56"/>
      <c r="M7" s="56"/>
      <c r="N7" s="56"/>
      <c r="O7" s="56"/>
      <c r="P7" s="57"/>
      <c r="Q7" s="57"/>
      <c r="R7" s="57"/>
      <c r="S7" s="57"/>
      <c r="T7" s="51" t="s">
        <v>285</v>
      </c>
      <c r="U7" s="59" t="s">
        <v>30</v>
      </c>
      <c r="V7" s="48" t="s">
        <v>350</v>
      </c>
      <c r="W7" s="48" t="s">
        <v>320</v>
      </c>
      <c r="X7" s="112"/>
      <c r="Y7" s="112"/>
      <c r="Z7" s="64" t="s">
        <v>495</v>
      </c>
      <c r="AA7" s="64">
        <v>3</v>
      </c>
    </row>
    <row r="8" spans="1:28" ht="23.4" customHeight="1">
      <c r="A8" s="47">
        <v>7</v>
      </c>
      <c r="B8" s="48" t="s">
        <v>3</v>
      </c>
      <c r="C8" s="49" t="s">
        <v>256</v>
      </c>
      <c r="D8" s="48" t="s">
        <v>383</v>
      </c>
      <c r="E8" s="48" t="s">
        <v>384</v>
      </c>
      <c r="F8" s="48" t="s">
        <v>342</v>
      </c>
      <c r="G8" s="60" t="s">
        <v>124</v>
      </c>
      <c r="H8" s="61" t="s">
        <v>200</v>
      </c>
      <c r="I8" s="60"/>
      <c r="J8" s="60"/>
      <c r="K8" s="60"/>
      <c r="L8" s="60"/>
      <c r="M8" s="60"/>
      <c r="N8" s="60"/>
      <c r="O8" s="60"/>
      <c r="P8" s="61"/>
      <c r="Q8" s="61"/>
      <c r="R8" s="61"/>
      <c r="S8" s="61"/>
      <c r="T8" s="51" t="s">
        <v>285</v>
      </c>
      <c r="U8" s="59" t="s">
        <v>30</v>
      </c>
      <c r="V8" s="48" t="s">
        <v>385</v>
      </c>
      <c r="W8" s="48" t="s">
        <v>320</v>
      </c>
      <c r="X8" s="112"/>
      <c r="Y8" s="112"/>
      <c r="Z8" s="87" t="s">
        <v>485</v>
      </c>
      <c r="AA8" s="64">
        <v>9</v>
      </c>
    </row>
    <row r="9" spans="1:28" ht="23.4" customHeight="1">
      <c r="A9" s="47">
        <v>8</v>
      </c>
      <c r="B9" s="48" t="s">
        <v>3</v>
      </c>
      <c r="C9" s="49" t="s">
        <v>245</v>
      </c>
      <c r="D9" s="48" t="s">
        <v>360</v>
      </c>
      <c r="E9" s="48" t="s">
        <v>361</v>
      </c>
      <c r="F9" s="48" t="s">
        <v>342</v>
      </c>
      <c r="G9" s="60" t="s">
        <v>98</v>
      </c>
      <c r="H9" s="61" t="s">
        <v>141</v>
      </c>
      <c r="I9" s="60"/>
      <c r="J9" s="60"/>
      <c r="K9" s="60"/>
      <c r="L9" s="60"/>
      <c r="M9" s="60"/>
      <c r="N9" s="60"/>
      <c r="O9" s="60"/>
      <c r="P9" s="61"/>
      <c r="Q9" s="61"/>
      <c r="R9" s="61"/>
      <c r="S9" s="61"/>
      <c r="T9" s="51" t="s">
        <v>285</v>
      </c>
      <c r="U9" s="59" t="s">
        <v>30</v>
      </c>
      <c r="V9" s="48" t="s">
        <v>362</v>
      </c>
      <c r="W9" s="48" t="s">
        <v>320</v>
      </c>
      <c r="X9" s="112"/>
      <c r="Y9" s="112"/>
      <c r="Z9" s="64" t="s">
        <v>485</v>
      </c>
      <c r="AA9" s="64">
        <v>9</v>
      </c>
    </row>
    <row r="10" spans="1:28" ht="23.4" customHeight="1">
      <c r="A10" s="47">
        <v>9</v>
      </c>
      <c r="B10" s="48" t="s">
        <v>3</v>
      </c>
      <c r="C10" s="49" t="s">
        <v>235</v>
      </c>
      <c r="D10" s="48" t="s">
        <v>346</v>
      </c>
      <c r="E10" s="48" t="s">
        <v>341</v>
      </c>
      <c r="F10" s="48" t="s">
        <v>342</v>
      </c>
      <c r="G10" s="60" t="s">
        <v>90</v>
      </c>
      <c r="H10" s="61" t="s">
        <v>108</v>
      </c>
      <c r="I10" s="60"/>
      <c r="J10" s="60"/>
      <c r="K10" s="60"/>
      <c r="L10" s="60"/>
      <c r="M10" s="60"/>
      <c r="N10" s="60"/>
      <c r="O10" s="60"/>
      <c r="P10" s="61"/>
      <c r="Q10" s="61"/>
      <c r="R10" s="61"/>
      <c r="S10" s="61"/>
      <c r="T10" s="51" t="s">
        <v>285</v>
      </c>
      <c r="U10" s="59" t="s">
        <v>30</v>
      </c>
      <c r="V10" s="48" t="s">
        <v>343</v>
      </c>
      <c r="W10" s="48" t="s">
        <v>320</v>
      </c>
      <c r="X10" s="112"/>
      <c r="Y10" s="112"/>
      <c r="Z10" s="64" t="s">
        <v>485</v>
      </c>
      <c r="AA10" s="64">
        <v>6</v>
      </c>
    </row>
    <row r="11" spans="1:28" ht="23.4" customHeight="1">
      <c r="A11" s="47">
        <v>10</v>
      </c>
      <c r="B11" s="48" t="s">
        <v>3</v>
      </c>
      <c r="C11" s="49" t="s">
        <v>237</v>
      </c>
      <c r="D11" s="48" t="s">
        <v>349</v>
      </c>
      <c r="E11" s="48" t="s">
        <v>268</v>
      </c>
      <c r="F11" s="48" t="s">
        <v>342</v>
      </c>
      <c r="G11" s="60" t="s">
        <v>90</v>
      </c>
      <c r="H11" s="61" t="s">
        <v>121</v>
      </c>
      <c r="I11" s="60"/>
      <c r="J11" s="60"/>
      <c r="K11" s="60"/>
      <c r="L11" s="60"/>
      <c r="M11" s="60"/>
      <c r="N11" s="60"/>
      <c r="O11" s="60"/>
      <c r="P11" s="61"/>
      <c r="Q11" s="61"/>
      <c r="R11" s="61"/>
      <c r="S11" s="61"/>
      <c r="T11" s="51" t="s">
        <v>285</v>
      </c>
      <c r="U11" s="59" t="s">
        <v>30</v>
      </c>
      <c r="V11" s="48" t="s">
        <v>350</v>
      </c>
      <c r="W11" s="48" t="s">
        <v>320</v>
      </c>
      <c r="X11" s="112"/>
      <c r="Y11" s="112"/>
      <c r="Z11" s="64" t="s">
        <v>485</v>
      </c>
      <c r="AA11" s="64">
        <v>6</v>
      </c>
    </row>
    <row r="12" spans="1:28" ht="23.4" customHeight="1">
      <c r="A12" s="47">
        <v>11</v>
      </c>
      <c r="B12" s="48" t="s">
        <v>3</v>
      </c>
      <c r="C12" s="49" t="s">
        <v>242</v>
      </c>
      <c r="D12" s="48" t="s">
        <v>356</v>
      </c>
      <c r="E12" s="48" t="s">
        <v>268</v>
      </c>
      <c r="F12" s="48" t="s">
        <v>342</v>
      </c>
      <c r="G12" s="60" t="s">
        <v>90</v>
      </c>
      <c r="H12" s="61" t="s">
        <v>128</v>
      </c>
      <c r="I12" s="60"/>
      <c r="J12" s="60"/>
      <c r="K12" s="60"/>
      <c r="L12" s="60"/>
      <c r="M12" s="60"/>
      <c r="N12" s="60"/>
      <c r="O12" s="60"/>
      <c r="P12" s="61"/>
      <c r="Q12" s="61"/>
      <c r="R12" s="61"/>
      <c r="S12" s="61"/>
      <c r="T12" s="51" t="s">
        <v>285</v>
      </c>
      <c r="U12" s="58" t="s">
        <v>15</v>
      </c>
      <c r="V12" s="48" t="s">
        <v>354</v>
      </c>
      <c r="W12" s="48" t="s">
        <v>320</v>
      </c>
      <c r="X12" s="112"/>
      <c r="Y12" s="112"/>
      <c r="Z12" s="64" t="s">
        <v>485</v>
      </c>
      <c r="AA12" s="64">
        <v>9</v>
      </c>
    </row>
    <row r="13" spans="1:28" ht="23.4" customHeight="1">
      <c r="A13" s="47">
        <v>12</v>
      </c>
      <c r="B13" s="48" t="s">
        <v>3</v>
      </c>
      <c r="C13" s="49" t="s">
        <v>251</v>
      </c>
      <c r="D13" s="48" t="s">
        <v>373</v>
      </c>
      <c r="E13" s="48" t="s">
        <v>268</v>
      </c>
      <c r="F13" s="48" t="s">
        <v>342</v>
      </c>
      <c r="G13" s="56" t="s">
        <v>106</v>
      </c>
      <c r="H13" s="57" t="s">
        <v>153</v>
      </c>
      <c r="I13" s="56"/>
      <c r="J13" s="56"/>
      <c r="K13" s="56"/>
      <c r="L13" s="56"/>
      <c r="M13" s="56"/>
      <c r="N13" s="56"/>
      <c r="O13" s="56"/>
      <c r="P13" s="57"/>
      <c r="Q13" s="57"/>
      <c r="R13" s="57"/>
      <c r="S13" s="57"/>
      <c r="T13" s="51" t="s">
        <v>285</v>
      </c>
      <c r="U13" s="59" t="s">
        <v>30</v>
      </c>
      <c r="V13" s="48" t="s">
        <v>358</v>
      </c>
      <c r="W13" s="48" t="s">
        <v>320</v>
      </c>
      <c r="X13" s="112"/>
      <c r="Y13" s="112"/>
      <c r="Z13" s="64" t="s">
        <v>485</v>
      </c>
      <c r="AA13" s="64">
        <v>9</v>
      </c>
    </row>
    <row r="14" spans="1:28" ht="23.4" customHeight="1">
      <c r="A14" s="47">
        <v>13</v>
      </c>
      <c r="B14" s="48" t="s">
        <v>3</v>
      </c>
      <c r="C14" s="49" t="s">
        <v>250</v>
      </c>
      <c r="D14" s="48" t="s">
        <v>371</v>
      </c>
      <c r="E14" s="48" t="s">
        <v>341</v>
      </c>
      <c r="F14" s="48" t="s">
        <v>342</v>
      </c>
      <c r="G14" s="56" t="s">
        <v>106</v>
      </c>
      <c r="H14" s="57" t="s">
        <v>151</v>
      </c>
      <c r="I14" s="56"/>
      <c r="J14" s="56"/>
      <c r="K14" s="56"/>
      <c r="L14" s="56"/>
      <c r="M14" s="56"/>
      <c r="N14" s="56"/>
      <c r="O14" s="56"/>
      <c r="P14" s="57"/>
      <c r="Q14" s="57"/>
      <c r="R14" s="57"/>
      <c r="S14" s="57"/>
      <c r="T14" s="51" t="s">
        <v>285</v>
      </c>
      <c r="U14" s="58" t="s">
        <v>15</v>
      </c>
      <c r="V14" s="48" t="s">
        <v>372</v>
      </c>
      <c r="W14" s="48" t="s">
        <v>320</v>
      </c>
      <c r="X14" s="112"/>
      <c r="Y14" s="112"/>
      <c r="Z14" s="64" t="s">
        <v>485</v>
      </c>
      <c r="AA14" s="64">
        <v>9</v>
      </c>
    </row>
    <row r="15" spans="1:28" ht="23.4" customHeight="1">
      <c r="A15" s="47">
        <v>14</v>
      </c>
      <c r="B15" s="48" t="s">
        <v>3</v>
      </c>
      <c r="C15" s="49" t="s">
        <v>244</v>
      </c>
      <c r="D15" s="48" t="s">
        <v>359</v>
      </c>
      <c r="E15" s="48" t="s">
        <v>268</v>
      </c>
      <c r="F15" s="48" t="s">
        <v>342</v>
      </c>
      <c r="G15" s="56" t="s">
        <v>94</v>
      </c>
      <c r="H15" s="57" t="s">
        <v>134</v>
      </c>
      <c r="I15" s="56"/>
      <c r="J15" s="56"/>
      <c r="K15" s="56"/>
      <c r="L15" s="56"/>
      <c r="M15" s="56"/>
      <c r="N15" s="56"/>
      <c r="O15" s="56"/>
      <c r="P15" s="57"/>
      <c r="Q15" s="57"/>
      <c r="R15" s="57"/>
      <c r="S15" s="57"/>
      <c r="T15" s="51" t="s">
        <v>285</v>
      </c>
      <c r="U15" s="59" t="s">
        <v>30</v>
      </c>
      <c r="V15" s="48" t="s">
        <v>358</v>
      </c>
      <c r="W15" s="48" t="s">
        <v>320</v>
      </c>
      <c r="X15" s="112"/>
      <c r="Y15" s="112"/>
      <c r="Z15" s="64" t="s">
        <v>485</v>
      </c>
      <c r="AA15" s="64">
        <v>9</v>
      </c>
    </row>
    <row r="16" spans="1:28" ht="23.4" customHeight="1">
      <c r="A16" s="47">
        <v>15</v>
      </c>
      <c r="B16" s="48" t="s">
        <v>3</v>
      </c>
      <c r="C16" s="49" t="s">
        <v>243</v>
      </c>
      <c r="D16" s="48" t="s">
        <v>357</v>
      </c>
      <c r="E16" s="48" t="s">
        <v>268</v>
      </c>
      <c r="F16" s="48" t="s">
        <v>342</v>
      </c>
      <c r="G16" s="56" t="s">
        <v>94</v>
      </c>
      <c r="H16" s="57" t="s">
        <v>134</v>
      </c>
      <c r="I16" s="56"/>
      <c r="J16" s="56"/>
      <c r="K16" s="56"/>
      <c r="L16" s="56"/>
      <c r="M16" s="56"/>
      <c r="N16" s="56"/>
      <c r="O16" s="56"/>
      <c r="P16" s="57"/>
      <c r="Q16" s="57"/>
      <c r="R16" s="57"/>
      <c r="S16" s="57"/>
      <c r="T16" s="51" t="s">
        <v>285</v>
      </c>
      <c r="U16" s="59" t="s">
        <v>30</v>
      </c>
      <c r="V16" s="48" t="s">
        <v>358</v>
      </c>
      <c r="W16" s="48" t="s">
        <v>320</v>
      </c>
      <c r="X16" s="112"/>
      <c r="Y16" s="112"/>
      <c r="Z16" s="64" t="s">
        <v>485</v>
      </c>
      <c r="AA16" s="64">
        <v>9</v>
      </c>
    </row>
    <row r="17" spans="1:28" ht="23.4" customHeight="1">
      <c r="A17" s="47">
        <v>16</v>
      </c>
      <c r="B17" s="48" t="s">
        <v>3</v>
      </c>
      <c r="C17" s="49" t="s">
        <v>236</v>
      </c>
      <c r="D17" s="48" t="s">
        <v>347</v>
      </c>
      <c r="E17" s="48" t="s">
        <v>268</v>
      </c>
      <c r="F17" s="48" t="s">
        <v>342</v>
      </c>
      <c r="G17" s="56" t="s">
        <v>90</v>
      </c>
      <c r="H17" s="57" t="s">
        <v>118</v>
      </c>
      <c r="I17" s="56"/>
      <c r="J17" s="56"/>
      <c r="K17" s="56"/>
      <c r="L17" s="56"/>
      <c r="M17" s="56"/>
      <c r="N17" s="56"/>
      <c r="O17" s="56"/>
      <c r="P17" s="57"/>
      <c r="Q17" s="57"/>
      <c r="R17" s="57"/>
      <c r="S17" s="57"/>
      <c r="T17" s="51" t="s">
        <v>285</v>
      </c>
      <c r="U17" s="58" t="s">
        <v>15</v>
      </c>
      <c r="V17" s="48" t="s">
        <v>348</v>
      </c>
      <c r="W17" s="48" t="s">
        <v>320</v>
      </c>
      <c r="X17" s="112"/>
      <c r="Y17" s="112"/>
      <c r="Z17" s="64" t="s">
        <v>485</v>
      </c>
      <c r="AA17" s="64">
        <v>6</v>
      </c>
    </row>
    <row r="18" spans="1:28" ht="23.4" customHeight="1">
      <c r="A18" s="47">
        <v>17</v>
      </c>
      <c r="B18" s="48" t="s">
        <v>3</v>
      </c>
      <c r="C18" s="49" t="s">
        <v>232</v>
      </c>
      <c r="D18" s="48" t="s">
        <v>340</v>
      </c>
      <c r="E18" s="48" t="s">
        <v>341</v>
      </c>
      <c r="F18" s="48" t="s">
        <v>342</v>
      </c>
      <c r="G18" s="56" t="s">
        <v>90</v>
      </c>
      <c r="H18" s="57" t="s">
        <v>108</v>
      </c>
      <c r="I18" s="56"/>
      <c r="J18" s="56"/>
      <c r="K18" s="56"/>
      <c r="L18" s="56"/>
      <c r="M18" s="56"/>
      <c r="N18" s="56"/>
      <c r="O18" s="56"/>
      <c r="P18" s="57"/>
      <c r="Q18" s="57"/>
      <c r="R18" s="57"/>
      <c r="S18" s="57"/>
      <c r="T18" s="51" t="s">
        <v>285</v>
      </c>
      <c r="U18" s="58" t="s">
        <v>15</v>
      </c>
      <c r="V18" s="48" t="s">
        <v>343</v>
      </c>
      <c r="W18" s="48" t="s">
        <v>320</v>
      </c>
      <c r="X18" s="112"/>
      <c r="Y18" s="112"/>
      <c r="Z18" s="64" t="s">
        <v>485</v>
      </c>
      <c r="AA18" s="64">
        <v>6</v>
      </c>
    </row>
    <row r="19" spans="1:28" ht="23.4" customHeight="1">
      <c r="A19" s="47">
        <v>18</v>
      </c>
      <c r="B19" s="48" t="s">
        <v>3</v>
      </c>
      <c r="C19" s="49" t="s">
        <v>233</v>
      </c>
      <c r="D19" s="48" t="s">
        <v>344</v>
      </c>
      <c r="E19" s="48" t="s">
        <v>341</v>
      </c>
      <c r="F19" s="48" t="s">
        <v>342</v>
      </c>
      <c r="G19" s="56" t="s">
        <v>90</v>
      </c>
      <c r="H19" s="57" t="s">
        <v>108</v>
      </c>
      <c r="I19" s="56"/>
      <c r="J19" s="56"/>
      <c r="K19" s="56"/>
      <c r="L19" s="56"/>
      <c r="M19" s="56"/>
      <c r="N19" s="56"/>
      <c r="O19" s="56"/>
      <c r="P19" s="57"/>
      <c r="Q19" s="57"/>
      <c r="R19" s="57"/>
      <c r="S19" s="57"/>
      <c r="T19" s="51" t="s">
        <v>285</v>
      </c>
      <c r="U19" s="59" t="s">
        <v>30</v>
      </c>
      <c r="V19" s="48" t="s">
        <v>343</v>
      </c>
      <c r="W19" s="48" t="s">
        <v>320</v>
      </c>
      <c r="X19" s="112"/>
      <c r="Y19" s="112"/>
      <c r="Z19" s="64" t="s">
        <v>485</v>
      </c>
      <c r="AA19" s="64">
        <v>6</v>
      </c>
    </row>
    <row r="20" spans="1:28" ht="23.4" customHeight="1">
      <c r="A20" s="47">
        <v>19</v>
      </c>
      <c r="B20" s="48" t="s">
        <v>3</v>
      </c>
      <c r="C20" s="49" t="s">
        <v>234</v>
      </c>
      <c r="D20" s="48" t="s">
        <v>345</v>
      </c>
      <c r="E20" s="48" t="s">
        <v>341</v>
      </c>
      <c r="F20" s="48" t="s">
        <v>342</v>
      </c>
      <c r="G20" s="56" t="s">
        <v>90</v>
      </c>
      <c r="H20" s="57" t="s">
        <v>108</v>
      </c>
      <c r="I20" s="56"/>
      <c r="J20" s="56"/>
      <c r="K20" s="56"/>
      <c r="L20" s="56"/>
      <c r="M20" s="56"/>
      <c r="N20" s="56"/>
      <c r="O20" s="56"/>
      <c r="P20" s="57"/>
      <c r="Q20" s="57"/>
      <c r="R20" s="57"/>
      <c r="S20" s="57"/>
      <c r="T20" s="51" t="s">
        <v>285</v>
      </c>
      <c r="U20" s="58" t="s">
        <v>15</v>
      </c>
      <c r="V20" s="48" t="s">
        <v>343</v>
      </c>
      <c r="W20" s="48" t="s">
        <v>320</v>
      </c>
      <c r="X20" s="112"/>
      <c r="Y20" s="112"/>
      <c r="Z20" s="64" t="s">
        <v>485</v>
      </c>
      <c r="AA20" s="64">
        <v>6</v>
      </c>
    </row>
    <row r="21" spans="1:28" ht="23.4" customHeight="1">
      <c r="A21" s="47">
        <v>20</v>
      </c>
      <c r="B21" s="48" t="s">
        <v>3</v>
      </c>
      <c r="C21" s="49" t="s">
        <v>240</v>
      </c>
      <c r="D21" s="48" t="s">
        <v>353</v>
      </c>
      <c r="E21" s="48" t="s">
        <v>268</v>
      </c>
      <c r="F21" s="48" t="s">
        <v>342</v>
      </c>
      <c r="G21" s="56" t="s">
        <v>90</v>
      </c>
      <c r="H21" s="57" t="s">
        <v>128</v>
      </c>
      <c r="I21" s="56"/>
      <c r="J21" s="56"/>
      <c r="K21" s="56"/>
      <c r="L21" s="56"/>
      <c r="M21" s="56"/>
      <c r="N21" s="56"/>
      <c r="O21" s="56"/>
      <c r="P21" s="57"/>
      <c r="Q21" s="57"/>
      <c r="R21" s="57"/>
      <c r="S21" s="57"/>
      <c r="T21" s="51" t="s">
        <v>285</v>
      </c>
      <c r="U21" s="59" t="s">
        <v>30</v>
      </c>
      <c r="V21" s="48" t="s">
        <v>354</v>
      </c>
      <c r="W21" s="48" t="s">
        <v>320</v>
      </c>
      <c r="X21" s="112"/>
      <c r="Y21" s="112"/>
      <c r="Z21" s="64" t="s">
        <v>485</v>
      </c>
      <c r="AA21" s="64">
        <v>6</v>
      </c>
    </row>
    <row r="22" spans="1:28" ht="23.4" customHeight="1">
      <c r="A22" s="47">
        <v>21</v>
      </c>
      <c r="B22" s="48" t="s">
        <v>3</v>
      </c>
      <c r="C22" s="49" t="s">
        <v>241</v>
      </c>
      <c r="D22" s="48" t="s">
        <v>355</v>
      </c>
      <c r="E22" s="48" t="s">
        <v>268</v>
      </c>
      <c r="F22" s="48" t="s">
        <v>342</v>
      </c>
      <c r="G22" s="56" t="s">
        <v>90</v>
      </c>
      <c r="H22" s="57" t="s">
        <v>128</v>
      </c>
      <c r="I22" s="56"/>
      <c r="J22" s="56"/>
      <c r="K22" s="56"/>
      <c r="L22" s="56"/>
      <c r="M22" s="56"/>
      <c r="N22" s="56"/>
      <c r="O22" s="56"/>
      <c r="P22" s="57"/>
      <c r="Q22" s="57"/>
      <c r="R22" s="57"/>
      <c r="S22" s="57"/>
      <c r="T22" s="51" t="s">
        <v>285</v>
      </c>
      <c r="U22" s="59" t="s">
        <v>30</v>
      </c>
      <c r="V22" s="48" t="s">
        <v>354</v>
      </c>
      <c r="W22" s="48" t="s">
        <v>320</v>
      </c>
      <c r="X22" s="112"/>
      <c r="Y22" s="112"/>
      <c r="Z22" s="64" t="s">
        <v>485</v>
      </c>
      <c r="AA22" s="64">
        <v>9</v>
      </c>
    </row>
    <row r="23" spans="1:28" ht="23.4" customHeight="1">
      <c r="A23" s="47">
        <v>22</v>
      </c>
      <c r="B23" s="48" t="s">
        <v>3</v>
      </c>
      <c r="C23" s="49" t="s">
        <v>239</v>
      </c>
      <c r="D23" s="48" t="s">
        <v>352</v>
      </c>
      <c r="E23" s="48" t="s">
        <v>268</v>
      </c>
      <c r="F23" s="48" t="s">
        <v>342</v>
      </c>
      <c r="G23" s="60" t="s">
        <v>90</v>
      </c>
      <c r="H23" s="61" t="s">
        <v>121</v>
      </c>
      <c r="I23" s="60"/>
      <c r="J23" s="60"/>
      <c r="K23" s="60"/>
      <c r="L23" s="60"/>
      <c r="M23" s="60"/>
      <c r="N23" s="60"/>
      <c r="O23" s="60"/>
      <c r="P23" s="61"/>
      <c r="Q23" s="61"/>
      <c r="R23" s="61"/>
      <c r="S23" s="61"/>
      <c r="T23" s="51" t="s">
        <v>285</v>
      </c>
      <c r="U23" s="58" t="s">
        <v>15</v>
      </c>
      <c r="V23" s="48" t="s">
        <v>350</v>
      </c>
      <c r="W23" s="48" t="s">
        <v>320</v>
      </c>
      <c r="X23" s="112"/>
      <c r="Y23" s="112"/>
      <c r="Z23" s="64" t="s">
        <v>495</v>
      </c>
      <c r="AA23" s="64">
        <v>3</v>
      </c>
    </row>
    <row r="24" spans="1:28" ht="23.4" customHeight="1">
      <c r="A24" s="47">
        <v>23</v>
      </c>
      <c r="B24" s="48" t="s">
        <v>3</v>
      </c>
      <c r="C24" s="49" t="s">
        <v>254</v>
      </c>
      <c r="D24" s="48" t="s">
        <v>378</v>
      </c>
      <c r="E24" s="48" t="s">
        <v>268</v>
      </c>
      <c r="F24" s="48" t="s">
        <v>342</v>
      </c>
      <c r="G24" s="56" t="s">
        <v>109</v>
      </c>
      <c r="H24" s="62" t="s">
        <v>157</v>
      </c>
      <c r="I24" s="56"/>
      <c r="J24" s="56"/>
      <c r="K24" s="56"/>
      <c r="L24" s="56"/>
      <c r="M24" s="56"/>
      <c r="N24" s="56"/>
      <c r="O24" s="56"/>
      <c r="P24" s="62"/>
      <c r="Q24" s="62"/>
      <c r="R24" s="62"/>
      <c r="S24" s="62"/>
      <c r="T24" s="51" t="s">
        <v>285</v>
      </c>
      <c r="U24" s="58" t="s">
        <v>15</v>
      </c>
      <c r="V24" s="48" t="s">
        <v>379</v>
      </c>
      <c r="W24" s="48" t="s">
        <v>320</v>
      </c>
      <c r="X24" s="112"/>
      <c r="Y24" s="112"/>
      <c r="Z24" s="101" t="s">
        <v>466</v>
      </c>
      <c r="AA24" s="101">
        <v>12</v>
      </c>
      <c r="AB24" s="88">
        <v>3600</v>
      </c>
    </row>
    <row r="25" spans="1:28" ht="23.4" customHeight="1">
      <c r="A25" s="47">
        <v>24</v>
      </c>
      <c r="B25" s="48" t="s">
        <v>3</v>
      </c>
      <c r="C25" s="49" t="s">
        <v>260</v>
      </c>
      <c r="D25" s="48" t="s">
        <v>390</v>
      </c>
      <c r="E25" s="48" t="s">
        <v>387</v>
      </c>
      <c r="F25" s="48" t="s">
        <v>342</v>
      </c>
      <c r="G25" s="56" t="s">
        <v>126</v>
      </c>
      <c r="H25" s="57" t="s">
        <v>206</v>
      </c>
      <c r="I25" s="56"/>
      <c r="J25" s="56"/>
      <c r="K25" s="56"/>
      <c r="L25" s="56"/>
      <c r="M25" s="56"/>
      <c r="N25" s="56"/>
      <c r="O25" s="56"/>
      <c r="P25" s="57"/>
      <c r="Q25" s="57"/>
      <c r="R25" s="57"/>
      <c r="S25" s="57"/>
      <c r="T25" s="51" t="s">
        <v>285</v>
      </c>
      <c r="U25" s="58" t="s">
        <v>15</v>
      </c>
      <c r="V25" s="48" t="s">
        <v>391</v>
      </c>
      <c r="W25" s="48" t="s">
        <v>320</v>
      </c>
      <c r="X25" s="112"/>
      <c r="Y25" s="112"/>
      <c r="Z25" s="101" t="s">
        <v>466</v>
      </c>
      <c r="AA25" s="101">
        <v>12</v>
      </c>
      <c r="AB25" s="88">
        <v>3600</v>
      </c>
    </row>
    <row r="26" spans="1:28" ht="23.4" customHeight="1">
      <c r="A26" s="47">
        <v>25</v>
      </c>
      <c r="B26" s="48" t="s">
        <v>3</v>
      </c>
      <c r="C26" s="49" t="s">
        <v>258</v>
      </c>
      <c r="D26" s="48" t="s">
        <v>259</v>
      </c>
      <c r="E26" s="48" t="s">
        <v>387</v>
      </c>
      <c r="F26" s="48" t="s">
        <v>342</v>
      </c>
      <c r="G26" s="60" t="s">
        <v>126</v>
      </c>
      <c r="H26" s="61" t="s">
        <v>204</v>
      </c>
      <c r="I26" s="60"/>
      <c r="J26" s="60"/>
      <c r="K26" s="60"/>
      <c r="L26" s="60"/>
      <c r="M26" s="60"/>
      <c r="N26" s="60"/>
      <c r="O26" s="60"/>
      <c r="P26" s="61"/>
      <c r="Q26" s="61"/>
      <c r="R26" s="61"/>
      <c r="S26" s="61"/>
      <c r="T26" s="51" t="s">
        <v>285</v>
      </c>
      <c r="U26" s="59" t="s">
        <v>30</v>
      </c>
      <c r="V26" s="48" t="s">
        <v>389</v>
      </c>
      <c r="W26" s="48" t="s">
        <v>320</v>
      </c>
      <c r="X26" s="112"/>
      <c r="Y26" s="112"/>
      <c r="Z26" s="101" t="s">
        <v>466</v>
      </c>
      <c r="AA26" s="101">
        <v>12</v>
      </c>
      <c r="AB26" s="88">
        <v>3600</v>
      </c>
    </row>
    <row r="27" spans="1:28" ht="23.4" customHeight="1">
      <c r="A27" s="47">
        <v>26</v>
      </c>
      <c r="B27" s="48" t="s">
        <v>3</v>
      </c>
      <c r="C27" s="49" t="s">
        <v>249</v>
      </c>
      <c r="D27" s="48" t="s">
        <v>369</v>
      </c>
      <c r="E27" s="48" t="s">
        <v>268</v>
      </c>
      <c r="F27" s="48" t="s">
        <v>342</v>
      </c>
      <c r="G27" s="56" t="s">
        <v>106</v>
      </c>
      <c r="H27" s="57" t="s">
        <v>149</v>
      </c>
      <c r="I27" s="56"/>
      <c r="J27" s="56"/>
      <c r="K27" s="56"/>
      <c r="L27" s="56"/>
      <c r="M27" s="56"/>
      <c r="N27" s="56"/>
      <c r="O27" s="56"/>
      <c r="P27" s="57"/>
      <c r="Q27" s="57"/>
      <c r="R27" s="57"/>
      <c r="S27" s="57"/>
      <c r="T27" s="51" t="s">
        <v>285</v>
      </c>
      <c r="U27" s="58" t="s">
        <v>15</v>
      </c>
      <c r="V27" s="48" t="s">
        <v>370</v>
      </c>
      <c r="W27" s="48" t="s">
        <v>320</v>
      </c>
      <c r="X27" s="112"/>
      <c r="Y27" s="112"/>
      <c r="Z27" s="101" t="s">
        <v>466</v>
      </c>
      <c r="AA27" s="101">
        <v>12</v>
      </c>
      <c r="AB27" s="88">
        <v>3400</v>
      </c>
    </row>
    <row r="28" spans="1:28" ht="23.4" customHeight="1">
      <c r="A28" s="47">
        <v>27</v>
      </c>
      <c r="B28" s="48" t="s">
        <v>3</v>
      </c>
      <c r="C28" s="49" t="s">
        <v>248</v>
      </c>
      <c r="D28" s="48" t="s">
        <v>367</v>
      </c>
      <c r="E28" s="48" t="s">
        <v>341</v>
      </c>
      <c r="F28" s="48" t="s">
        <v>342</v>
      </c>
      <c r="G28" s="60" t="s">
        <v>106</v>
      </c>
      <c r="H28" s="61" t="s">
        <v>147</v>
      </c>
      <c r="I28" s="60"/>
      <c r="J28" s="60"/>
      <c r="K28" s="60"/>
      <c r="L28" s="60"/>
      <c r="M28" s="60"/>
      <c r="N28" s="60"/>
      <c r="O28" s="60"/>
      <c r="P28" s="61"/>
      <c r="Q28" s="61"/>
      <c r="R28" s="61"/>
      <c r="S28" s="61"/>
      <c r="T28" s="51" t="s">
        <v>285</v>
      </c>
      <c r="U28" s="59" t="s">
        <v>30</v>
      </c>
      <c r="V28" s="48" t="s">
        <v>368</v>
      </c>
      <c r="W28" s="48" t="s">
        <v>320</v>
      </c>
      <c r="X28" s="112"/>
      <c r="Y28" s="112"/>
      <c r="Z28" s="101" t="s">
        <v>466</v>
      </c>
      <c r="AA28" s="101">
        <v>12</v>
      </c>
      <c r="AB28" s="88">
        <v>3600</v>
      </c>
    </row>
    <row r="29" spans="1:28" ht="23.4" customHeight="1">
      <c r="A29" s="47">
        <v>28</v>
      </c>
      <c r="B29" s="48" t="s">
        <v>3</v>
      </c>
      <c r="C29" s="49" t="s">
        <v>246</v>
      </c>
      <c r="D29" s="48" t="s">
        <v>363</v>
      </c>
      <c r="E29" s="48" t="s">
        <v>268</v>
      </c>
      <c r="F29" s="48" t="s">
        <v>342</v>
      </c>
      <c r="G29" s="60" t="s">
        <v>103</v>
      </c>
      <c r="H29" s="61" t="s">
        <v>143</v>
      </c>
      <c r="I29" s="60"/>
      <c r="J29" s="60"/>
      <c r="K29" s="60"/>
      <c r="L29" s="60"/>
      <c r="M29" s="60"/>
      <c r="N29" s="60"/>
      <c r="O29" s="60"/>
      <c r="P29" s="61"/>
      <c r="Q29" s="61"/>
      <c r="R29" s="61"/>
      <c r="S29" s="61"/>
      <c r="T29" s="51" t="s">
        <v>285</v>
      </c>
      <c r="U29" s="59" t="s">
        <v>30</v>
      </c>
      <c r="V29" s="48" t="s">
        <v>364</v>
      </c>
      <c r="W29" s="48" t="s">
        <v>320</v>
      </c>
      <c r="X29" s="112"/>
      <c r="Y29" s="112"/>
      <c r="Z29" s="101" t="s">
        <v>466</v>
      </c>
      <c r="AA29" s="101">
        <v>12</v>
      </c>
      <c r="AB29" s="88">
        <v>3200</v>
      </c>
    </row>
    <row r="30" spans="1:28" ht="23.4" customHeight="1">
      <c r="A30" s="47">
        <v>29</v>
      </c>
      <c r="B30" s="48" t="s">
        <v>3</v>
      </c>
      <c r="C30" s="105" t="s">
        <v>228</v>
      </c>
      <c r="D30" s="106" t="s">
        <v>331</v>
      </c>
      <c r="E30" s="48" t="s">
        <v>268</v>
      </c>
      <c r="F30" s="48" t="s">
        <v>329</v>
      </c>
      <c r="G30" s="11" t="s">
        <v>61</v>
      </c>
      <c r="H30" s="16" t="s">
        <v>59</v>
      </c>
      <c r="I30" s="73"/>
      <c r="J30" s="73"/>
      <c r="K30" s="73"/>
      <c r="L30" s="73"/>
      <c r="M30" s="73"/>
      <c r="N30" s="73"/>
      <c r="O30" s="73"/>
      <c r="P30" s="16"/>
      <c r="Q30" s="16"/>
      <c r="R30" s="16"/>
      <c r="S30" s="16"/>
      <c r="T30" s="51" t="s">
        <v>285</v>
      </c>
      <c r="U30" s="55" t="s">
        <v>15</v>
      </c>
      <c r="V30" s="48" t="s">
        <v>332</v>
      </c>
      <c r="W30" s="106" t="s">
        <v>320</v>
      </c>
      <c r="X30" s="113"/>
      <c r="Y30" s="113"/>
      <c r="Z30" s="101" t="s">
        <v>466</v>
      </c>
      <c r="AA30" s="101">
        <v>12</v>
      </c>
      <c r="AB30" s="88">
        <v>3600</v>
      </c>
    </row>
    <row r="31" spans="1:28" ht="23.4" customHeight="1">
      <c r="A31" s="47">
        <v>30</v>
      </c>
      <c r="B31" s="48" t="s">
        <v>3</v>
      </c>
      <c r="C31" s="49" t="s">
        <v>227</v>
      </c>
      <c r="D31" s="48" t="s">
        <v>328</v>
      </c>
      <c r="E31" s="48" t="s">
        <v>268</v>
      </c>
      <c r="F31" s="48" t="s">
        <v>329</v>
      </c>
      <c r="G31" s="11" t="s">
        <v>61</v>
      </c>
      <c r="H31" s="13" t="s">
        <v>59</v>
      </c>
      <c r="I31" s="51"/>
      <c r="J31" s="51"/>
      <c r="K31" s="51"/>
      <c r="L31" s="51"/>
      <c r="M31" s="51"/>
      <c r="N31" s="51"/>
      <c r="O31" s="51"/>
      <c r="P31" s="13"/>
      <c r="Q31" s="13"/>
      <c r="R31" s="13"/>
      <c r="S31" s="13"/>
      <c r="T31" s="51" t="s">
        <v>285</v>
      </c>
      <c r="U31" s="52" t="s">
        <v>30</v>
      </c>
      <c r="V31" s="48" t="s">
        <v>330</v>
      </c>
      <c r="W31" s="48" t="s">
        <v>320</v>
      </c>
      <c r="X31" s="112"/>
      <c r="Y31" s="112"/>
      <c r="Z31" s="101" t="s">
        <v>466</v>
      </c>
      <c r="AA31" s="101">
        <v>12</v>
      </c>
      <c r="AB31" s="88">
        <v>3600</v>
      </c>
    </row>
    <row r="32" spans="1:28" ht="23.4" customHeight="1">
      <c r="A32" s="47">
        <v>31</v>
      </c>
      <c r="B32" s="48" t="s">
        <v>3</v>
      </c>
      <c r="C32" s="49" t="s">
        <v>224</v>
      </c>
      <c r="D32" s="48" t="s">
        <v>321</v>
      </c>
      <c r="E32" s="48" t="s">
        <v>268</v>
      </c>
      <c r="F32" s="48" t="s">
        <v>322</v>
      </c>
      <c r="G32" s="11" t="s">
        <v>54</v>
      </c>
      <c r="H32" s="13" t="s">
        <v>56</v>
      </c>
      <c r="I32" s="51"/>
      <c r="J32" s="51"/>
      <c r="K32" s="51"/>
      <c r="L32" s="51"/>
      <c r="M32" s="51"/>
      <c r="N32" s="51"/>
      <c r="O32" s="51"/>
      <c r="P32" s="13"/>
      <c r="Q32" s="13"/>
      <c r="R32" s="13"/>
      <c r="S32" s="13"/>
      <c r="T32" s="51" t="s">
        <v>285</v>
      </c>
      <c r="U32" s="55" t="s">
        <v>15</v>
      </c>
      <c r="V32" s="48" t="s">
        <v>323</v>
      </c>
      <c r="W32" s="48" t="s">
        <v>320</v>
      </c>
      <c r="X32" s="112"/>
      <c r="Y32" s="112"/>
      <c r="Z32" s="101" t="s">
        <v>466</v>
      </c>
      <c r="AA32" s="101">
        <v>12</v>
      </c>
      <c r="AB32" s="88">
        <v>3400</v>
      </c>
    </row>
    <row r="33" spans="1:28" ht="23.4" customHeight="1">
      <c r="A33" s="47">
        <v>32</v>
      </c>
      <c r="B33" s="48" t="s">
        <v>3</v>
      </c>
      <c r="C33" s="49" t="s">
        <v>257</v>
      </c>
      <c r="D33" s="48" t="s">
        <v>386</v>
      </c>
      <c r="E33" s="48" t="s">
        <v>387</v>
      </c>
      <c r="F33" s="48" t="s">
        <v>342</v>
      </c>
      <c r="G33" s="56" t="s">
        <v>126</v>
      </c>
      <c r="H33" s="57" t="s">
        <v>202</v>
      </c>
      <c r="I33" s="56"/>
      <c r="J33" s="56"/>
      <c r="K33" s="56"/>
      <c r="L33" s="56"/>
      <c r="M33" s="56"/>
      <c r="N33" s="56"/>
      <c r="O33" s="56"/>
      <c r="P33" s="57"/>
      <c r="Q33" s="57"/>
      <c r="R33" s="57"/>
      <c r="S33" s="57"/>
      <c r="T33" s="51" t="s">
        <v>285</v>
      </c>
      <c r="U33" s="58" t="s">
        <v>15</v>
      </c>
      <c r="V33" s="48" t="s">
        <v>388</v>
      </c>
      <c r="W33" s="48" t="s">
        <v>320</v>
      </c>
      <c r="X33" s="112"/>
      <c r="Y33" s="112"/>
      <c r="Z33" s="89" t="s">
        <v>405</v>
      </c>
      <c r="AA33" s="89">
        <v>9</v>
      </c>
      <c r="AB33" s="88">
        <v>3400</v>
      </c>
    </row>
    <row r="34" spans="1:28" ht="23.4" customHeight="1">
      <c r="A34" s="47">
        <v>33</v>
      </c>
      <c r="B34" s="48" t="s">
        <v>3</v>
      </c>
      <c r="C34" s="49" t="s">
        <v>255</v>
      </c>
      <c r="D34" s="48" t="s">
        <v>380</v>
      </c>
      <c r="E34" s="48" t="s">
        <v>381</v>
      </c>
      <c r="F34" s="48" t="s">
        <v>342</v>
      </c>
      <c r="G34" s="56" t="s">
        <v>124</v>
      </c>
      <c r="H34" s="57" t="s">
        <v>198</v>
      </c>
      <c r="I34" s="56"/>
      <c r="J34" s="56"/>
      <c r="K34" s="56"/>
      <c r="L34" s="56"/>
      <c r="M34" s="56"/>
      <c r="N34" s="56"/>
      <c r="O34" s="56"/>
      <c r="P34" s="57"/>
      <c r="Q34" s="57"/>
      <c r="R34" s="57"/>
      <c r="S34" s="57"/>
      <c r="T34" s="51" t="s">
        <v>285</v>
      </c>
      <c r="U34" s="58" t="s">
        <v>15</v>
      </c>
      <c r="V34" s="48" t="s">
        <v>382</v>
      </c>
      <c r="W34" s="48" t="s">
        <v>320</v>
      </c>
      <c r="X34" s="112"/>
      <c r="Y34" s="112"/>
      <c r="Z34" s="89" t="s">
        <v>405</v>
      </c>
      <c r="AA34" s="89">
        <v>9</v>
      </c>
      <c r="AB34" s="88">
        <v>3600</v>
      </c>
    </row>
    <row r="35" spans="1:28" ht="23.4" customHeight="1">
      <c r="A35" s="47">
        <v>34</v>
      </c>
      <c r="B35" s="48" t="s">
        <v>3</v>
      </c>
      <c r="C35" s="49" t="s">
        <v>253</v>
      </c>
      <c r="D35" s="48" t="s">
        <v>376</v>
      </c>
      <c r="E35" s="48" t="s">
        <v>268</v>
      </c>
      <c r="F35" s="48" t="s">
        <v>342</v>
      </c>
      <c r="G35" s="56" t="s">
        <v>109</v>
      </c>
      <c r="H35" s="62" t="s">
        <v>157</v>
      </c>
      <c r="I35" s="56"/>
      <c r="J35" s="56"/>
      <c r="K35" s="56"/>
      <c r="L35" s="56"/>
      <c r="M35" s="56"/>
      <c r="N35" s="56"/>
      <c r="O35" s="56"/>
      <c r="P35" s="62"/>
      <c r="Q35" s="62"/>
      <c r="R35" s="62"/>
      <c r="S35" s="62"/>
      <c r="T35" s="51" t="s">
        <v>285</v>
      </c>
      <c r="U35" s="63" t="s">
        <v>158</v>
      </c>
      <c r="V35" s="48" t="s">
        <v>377</v>
      </c>
      <c r="W35" s="48" t="s">
        <v>320</v>
      </c>
      <c r="X35" s="112"/>
      <c r="Y35" s="112"/>
      <c r="Z35" s="89" t="s">
        <v>405</v>
      </c>
      <c r="AA35" s="89">
        <v>9</v>
      </c>
      <c r="AB35" s="88">
        <v>3600</v>
      </c>
    </row>
    <row r="36" spans="1:28" ht="23.4" customHeight="1">
      <c r="A36" s="47">
        <v>35</v>
      </c>
      <c r="B36" s="48" t="s">
        <v>3</v>
      </c>
      <c r="C36" s="49" t="s">
        <v>252</v>
      </c>
      <c r="D36" s="48" t="s">
        <v>374</v>
      </c>
      <c r="E36" s="48" t="s">
        <v>268</v>
      </c>
      <c r="F36" s="48" t="s">
        <v>342</v>
      </c>
      <c r="G36" s="60" t="s">
        <v>109</v>
      </c>
      <c r="H36" s="61" t="s">
        <v>155</v>
      </c>
      <c r="I36" s="60"/>
      <c r="J36" s="60"/>
      <c r="K36" s="60"/>
      <c r="L36" s="60"/>
      <c r="M36" s="60"/>
      <c r="N36" s="60"/>
      <c r="O36" s="60"/>
      <c r="P36" s="61"/>
      <c r="Q36" s="61"/>
      <c r="R36" s="61"/>
      <c r="S36" s="61"/>
      <c r="T36" s="51" t="s">
        <v>285</v>
      </c>
      <c r="U36" s="59" t="s">
        <v>30</v>
      </c>
      <c r="V36" s="48" t="s">
        <v>375</v>
      </c>
      <c r="W36" s="48" t="s">
        <v>320</v>
      </c>
      <c r="X36" s="112"/>
      <c r="Y36" s="112"/>
      <c r="Z36" s="89" t="s">
        <v>405</v>
      </c>
      <c r="AA36" s="89">
        <v>9</v>
      </c>
      <c r="AB36" s="88">
        <v>3400</v>
      </c>
    </row>
    <row r="37" spans="1:28" ht="23.4" customHeight="1">
      <c r="A37" s="47">
        <v>36</v>
      </c>
      <c r="B37" s="48" t="s">
        <v>3</v>
      </c>
      <c r="C37" s="49" t="s">
        <v>229</v>
      </c>
      <c r="D37" s="48" t="s">
        <v>333</v>
      </c>
      <c r="E37" s="48" t="s">
        <v>268</v>
      </c>
      <c r="F37" s="48" t="s">
        <v>322</v>
      </c>
      <c r="G37" s="53" t="s">
        <v>48</v>
      </c>
      <c r="H37" s="54" t="s">
        <v>50</v>
      </c>
      <c r="I37" s="115"/>
      <c r="J37" s="115"/>
      <c r="K37" s="115"/>
      <c r="L37" s="115"/>
      <c r="M37" s="115"/>
      <c r="N37" s="115"/>
      <c r="O37" s="115"/>
      <c r="P37" s="54"/>
      <c r="Q37" s="54"/>
      <c r="R37" s="54"/>
      <c r="S37" s="54"/>
      <c r="T37" s="51" t="s">
        <v>285</v>
      </c>
      <c r="U37" s="55" t="s">
        <v>15</v>
      </c>
      <c r="V37" s="48" t="s">
        <v>334</v>
      </c>
      <c r="W37" s="48" t="s">
        <v>320</v>
      </c>
      <c r="X37" s="112"/>
      <c r="Y37" s="112"/>
      <c r="Z37" s="89" t="s">
        <v>405</v>
      </c>
      <c r="AA37" s="89">
        <v>9</v>
      </c>
      <c r="AB37" s="88">
        <v>3200</v>
      </c>
    </row>
    <row r="38" spans="1:28" ht="23.4" customHeight="1">
      <c r="A38" s="47">
        <v>37</v>
      </c>
      <c r="B38" s="48" t="s">
        <v>3</v>
      </c>
      <c r="C38" s="49" t="s">
        <v>226</v>
      </c>
      <c r="D38" s="48" t="s">
        <v>326</v>
      </c>
      <c r="E38" s="48" t="s">
        <v>268</v>
      </c>
      <c r="F38" s="48" t="s">
        <v>322</v>
      </c>
      <c r="G38" s="11" t="s">
        <v>54</v>
      </c>
      <c r="H38" s="13" t="s">
        <v>59</v>
      </c>
      <c r="I38" s="51"/>
      <c r="J38" s="51"/>
      <c r="K38" s="51"/>
      <c r="L38" s="51"/>
      <c r="M38" s="51"/>
      <c r="N38" s="51"/>
      <c r="O38" s="51"/>
      <c r="P38" s="13"/>
      <c r="Q38" s="13"/>
      <c r="R38" s="13"/>
      <c r="S38" s="13"/>
      <c r="T38" s="51" t="s">
        <v>285</v>
      </c>
      <c r="U38" s="55" t="s">
        <v>15</v>
      </c>
      <c r="V38" s="48" t="s">
        <v>327</v>
      </c>
      <c r="W38" s="48" t="s">
        <v>320</v>
      </c>
      <c r="X38" s="112"/>
      <c r="Y38" s="112"/>
      <c r="Z38" s="89" t="s">
        <v>405</v>
      </c>
      <c r="AA38" s="89">
        <v>9</v>
      </c>
      <c r="AB38" s="88">
        <v>3200</v>
      </c>
    </row>
    <row r="39" spans="1:28" ht="23.4" customHeight="1">
      <c r="A39" s="47">
        <v>38</v>
      </c>
      <c r="B39" s="48" t="s">
        <v>3</v>
      </c>
      <c r="C39" s="49" t="s">
        <v>225</v>
      </c>
      <c r="D39" s="48" t="s">
        <v>324</v>
      </c>
      <c r="E39" s="48" t="s">
        <v>268</v>
      </c>
      <c r="F39" s="48" t="s">
        <v>322</v>
      </c>
      <c r="G39" s="11" t="s">
        <v>54</v>
      </c>
      <c r="H39" s="13" t="s">
        <v>59</v>
      </c>
      <c r="I39" s="51"/>
      <c r="J39" s="51"/>
      <c r="K39" s="51"/>
      <c r="L39" s="51"/>
      <c r="M39" s="51"/>
      <c r="N39" s="51"/>
      <c r="O39" s="51"/>
      <c r="P39" s="13"/>
      <c r="Q39" s="13"/>
      <c r="R39" s="13"/>
      <c r="S39" s="13"/>
      <c r="T39" s="51" t="s">
        <v>285</v>
      </c>
      <c r="U39" s="55" t="s">
        <v>15</v>
      </c>
      <c r="V39" s="48" t="s">
        <v>325</v>
      </c>
      <c r="W39" s="48" t="s">
        <v>320</v>
      </c>
      <c r="X39" s="112"/>
      <c r="Y39" s="112"/>
      <c r="Z39" s="89" t="s">
        <v>405</v>
      </c>
      <c r="AA39" s="89">
        <v>9</v>
      </c>
      <c r="AB39" s="88">
        <v>2400</v>
      </c>
    </row>
    <row r="40" spans="1:28" ht="23.4" customHeight="1">
      <c r="A40" s="47">
        <v>39</v>
      </c>
      <c r="B40" s="48" t="s">
        <v>3</v>
      </c>
      <c r="C40" s="49" t="s">
        <v>223</v>
      </c>
      <c r="D40" s="48" t="s">
        <v>317</v>
      </c>
      <c r="E40" s="48" t="s">
        <v>268</v>
      </c>
      <c r="F40" s="48" t="s">
        <v>318</v>
      </c>
      <c r="G40" s="11" t="s">
        <v>51</v>
      </c>
      <c r="H40" s="13" t="s">
        <v>53</v>
      </c>
      <c r="I40" s="51"/>
      <c r="J40" s="51"/>
      <c r="K40" s="51"/>
      <c r="L40" s="51"/>
      <c r="M40" s="51"/>
      <c r="N40" s="51"/>
      <c r="O40" s="51"/>
      <c r="P40" s="13"/>
      <c r="Q40" s="13"/>
      <c r="R40" s="13"/>
      <c r="S40" s="13"/>
      <c r="T40" s="51" t="s">
        <v>285</v>
      </c>
      <c r="U40" s="55" t="s">
        <v>15</v>
      </c>
      <c r="V40" s="48" t="s">
        <v>319</v>
      </c>
      <c r="W40" s="48" t="s">
        <v>320</v>
      </c>
      <c r="X40" s="112"/>
      <c r="Y40" s="112"/>
      <c r="Z40" s="89" t="s">
        <v>405</v>
      </c>
      <c r="AA40" s="89">
        <v>9</v>
      </c>
      <c r="AB40" s="88">
        <v>2800</v>
      </c>
    </row>
    <row r="41" spans="1:28" ht="23.4" customHeight="1">
      <c r="A41" s="47">
        <v>40</v>
      </c>
      <c r="B41" s="48" t="s">
        <v>3</v>
      </c>
      <c r="C41" s="49" t="s">
        <v>230</v>
      </c>
      <c r="D41" s="48" t="s">
        <v>335</v>
      </c>
      <c r="E41" s="48" t="s">
        <v>336</v>
      </c>
      <c r="F41" s="48" t="s">
        <v>64</v>
      </c>
      <c r="G41" s="53" t="s">
        <v>64</v>
      </c>
      <c r="H41" s="16" t="s">
        <v>66</v>
      </c>
      <c r="I41" s="73"/>
      <c r="J41" s="73"/>
      <c r="K41" s="73"/>
      <c r="L41" s="73"/>
      <c r="M41" s="73"/>
      <c r="N41" s="73"/>
      <c r="O41" s="73"/>
      <c r="P41" s="16"/>
      <c r="Q41" s="16"/>
      <c r="R41" s="16"/>
      <c r="S41" s="16"/>
      <c r="T41" s="51" t="s">
        <v>285</v>
      </c>
      <c r="U41" s="55" t="s">
        <v>15</v>
      </c>
      <c r="V41" s="48" t="s">
        <v>337</v>
      </c>
      <c r="W41" s="48" t="s">
        <v>271</v>
      </c>
      <c r="X41" s="112"/>
      <c r="Y41" s="112"/>
      <c r="Z41" s="109" t="s">
        <v>479</v>
      </c>
    </row>
    <row r="42" spans="1:28" ht="23.4" customHeight="1">
      <c r="A42" s="47">
        <v>41</v>
      </c>
      <c r="B42" s="50" t="s">
        <v>3</v>
      </c>
      <c r="C42" s="50" t="s">
        <v>291</v>
      </c>
      <c r="D42" s="50" t="s">
        <v>292</v>
      </c>
      <c r="E42" s="50" t="s">
        <v>274</v>
      </c>
      <c r="F42" s="50" t="s">
        <v>275</v>
      </c>
      <c r="G42" s="50" t="s">
        <v>492</v>
      </c>
      <c r="H42" s="50" t="s">
        <v>491</v>
      </c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48" t="s">
        <v>288</v>
      </c>
      <c r="U42" s="50" t="s">
        <v>293</v>
      </c>
      <c r="V42" s="48" t="s">
        <v>290</v>
      </c>
      <c r="W42" s="48" t="s">
        <v>271</v>
      </c>
      <c r="X42" s="112"/>
      <c r="Y42" s="112"/>
      <c r="Z42" s="87">
        <v>244392</v>
      </c>
      <c r="AA42" s="64">
        <v>12</v>
      </c>
      <c r="AB42" s="88">
        <v>1900</v>
      </c>
    </row>
    <row r="43" spans="1:28" ht="23.4" customHeight="1">
      <c r="A43" s="47">
        <v>42</v>
      </c>
      <c r="B43" s="48" t="s">
        <v>3</v>
      </c>
      <c r="C43" s="49" t="s">
        <v>219</v>
      </c>
      <c r="D43" s="48" t="s">
        <v>287</v>
      </c>
      <c r="E43" s="48" t="s">
        <v>274</v>
      </c>
      <c r="F43" s="48" t="s">
        <v>275</v>
      </c>
      <c r="G43" s="53" t="s">
        <v>12</v>
      </c>
      <c r="H43" s="54" t="s">
        <v>14</v>
      </c>
      <c r="I43" s="115"/>
      <c r="J43" s="115"/>
      <c r="K43" s="115"/>
      <c r="L43" s="115"/>
      <c r="M43" s="115"/>
      <c r="N43" s="115"/>
      <c r="O43" s="115"/>
      <c r="P43" s="54"/>
      <c r="Q43" s="54"/>
      <c r="R43" s="54"/>
      <c r="S43" s="54"/>
      <c r="T43" s="48" t="s">
        <v>288</v>
      </c>
      <c r="U43" s="55" t="s">
        <v>289</v>
      </c>
      <c r="V43" s="48" t="s">
        <v>290</v>
      </c>
      <c r="W43" s="48" t="s">
        <v>271</v>
      </c>
      <c r="X43" s="112"/>
      <c r="Y43" s="112"/>
      <c r="Z43" s="87">
        <v>244392</v>
      </c>
      <c r="AA43" s="64">
        <v>12</v>
      </c>
      <c r="AB43" s="88">
        <v>1900</v>
      </c>
    </row>
    <row r="44" spans="1:28" ht="23.4" customHeight="1">
      <c r="A44" s="47">
        <v>43</v>
      </c>
      <c r="B44" s="48" t="s">
        <v>3</v>
      </c>
      <c r="C44" s="49" t="s">
        <v>272</v>
      </c>
      <c r="D44" s="48" t="s">
        <v>273</v>
      </c>
      <c r="E44" s="48" t="s">
        <v>274</v>
      </c>
      <c r="F44" s="48" t="s">
        <v>275</v>
      </c>
      <c r="G44" s="48" t="s">
        <v>54</v>
      </c>
      <c r="H44" s="110" t="s">
        <v>14</v>
      </c>
      <c r="I44" s="116"/>
      <c r="J44" s="116"/>
      <c r="K44" s="116"/>
      <c r="L44" s="116"/>
      <c r="M44" s="116"/>
      <c r="N44" s="116"/>
      <c r="O44" s="116"/>
      <c r="P44" s="110"/>
      <c r="Q44" s="110"/>
      <c r="R44" s="110"/>
      <c r="S44" s="110"/>
      <c r="T44" s="48" t="s">
        <v>288</v>
      </c>
      <c r="U44" s="106"/>
      <c r="V44" s="48" t="s">
        <v>276</v>
      </c>
      <c r="W44" s="48" t="s">
        <v>271</v>
      </c>
      <c r="X44" s="112"/>
      <c r="Y44" s="112"/>
      <c r="Z44" s="111">
        <v>244664</v>
      </c>
      <c r="AA44" s="64">
        <v>11</v>
      </c>
    </row>
    <row r="45" spans="1:28" ht="23.4" customHeight="1">
      <c r="A45" s="47">
        <v>44</v>
      </c>
      <c r="B45" s="48" t="s">
        <v>3</v>
      </c>
      <c r="C45" s="49" t="s">
        <v>222</v>
      </c>
      <c r="D45" s="48" t="s">
        <v>298</v>
      </c>
      <c r="E45" s="48" t="s">
        <v>274</v>
      </c>
      <c r="F45" s="48" t="s">
        <v>297</v>
      </c>
      <c r="G45" s="11" t="s">
        <v>18</v>
      </c>
      <c r="H45" s="13" t="s">
        <v>20</v>
      </c>
      <c r="I45" s="51"/>
      <c r="J45" s="51"/>
      <c r="K45" s="51"/>
      <c r="L45" s="51"/>
      <c r="M45" s="51"/>
      <c r="N45" s="51"/>
      <c r="O45" s="51"/>
      <c r="P45" s="13"/>
      <c r="Q45" s="13"/>
      <c r="R45" s="13"/>
      <c r="S45" s="13"/>
      <c r="T45" s="51" t="s">
        <v>285</v>
      </c>
      <c r="U45" s="55" t="s">
        <v>24</v>
      </c>
      <c r="V45" s="48" t="s">
        <v>276</v>
      </c>
      <c r="W45" s="48" t="s">
        <v>271</v>
      </c>
      <c r="X45" s="112"/>
      <c r="Y45" s="112"/>
      <c r="Z45" s="87">
        <v>244664</v>
      </c>
      <c r="AA45" s="64">
        <v>11</v>
      </c>
      <c r="AB45" s="88">
        <v>4876</v>
      </c>
    </row>
    <row r="46" spans="1:28" ht="23.4" customHeight="1">
      <c r="A46" s="47">
        <v>45</v>
      </c>
      <c r="B46" s="48" t="s">
        <v>3</v>
      </c>
      <c r="C46" s="49" t="s">
        <v>221</v>
      </c>
      <c r="D46" s="48" t="s">
        <v>296</v>
      </c>
      <c r="E46" s="48" t="s">
        <v>274</v>
      </c>
      <c r="F46" s="48" t="s">
        <v>297</v>
      </c>
      <c r="G46" s="11" t="s">
        <v>18</v>
      </c>
      <c r="H46" s="13" t="s">
        <v>20</v>
      </c>
      <c r="I46" s="51"/>
      <c r="J46" s="51"/>
      <c r="K46" s="51"/>
      <c r="L46" s="51"/>
      <c r="M46" s="51"/>
      <c r="N46" s="51"/>
      <c r="O46" s="51"/>
      <c r="P46" s="13"/>
      <c r="Q46" s="13"/>
      <c r="R46" s="13"/>
      <c r="S46" s="13"/>
      <c r="T46" s="51" t="s">
        <v>285</v>
      </c>
      <c r="U46" s="55" t="s">
        <v>2</v>
      </c>
      <c r="V46" s="48" t="s">
        <v>276</v>
      </c>
      <c r="W46" s="48" t="s">
        <v>271</v>
      </c>
      <c r="X46" s="112"/>
      <c r="Y46" s="112"/>
      <c r="Z46" s="87">
        <v>244664</v>
      </c>
      <c r="AA46" s="64">
        <v>11</v>
      </c>
      <c r="AB46" s="88">
        <v>4876</v>
      </c>
    </row>
    <row r="47" spans="1:28" ht="23.4" customHeight="1">
      <c r="A47" s="47">
        <v>46</v>
      </c>
      <c r="B47" s="50" t="s">
        <v>3</v>
      </c>
      <c r="C47" s="50" t="s">
        <v>299</v>
      </c>
      <c r="D47" s="50" t="s">
        <v>300</v>
      </c>
      <c r="E47" s="50" t="s">
        <v>274</v>
      </c>
      <c r="F47" s="50" t="s">
        <v>284</v>
      </c>
      <c r="G47" s="50"/>
      <c r="H47" s="50" t="s">
        <v>494</v>
      </c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 t="s">
        <v>280</v>
      </c>
      <c r="U47" s="48" t="s">
        <v>301</v>
      </c>
      <c r="V47" s="48" t="s">
        <v>302</v>
      </c>
      <c r="W47" s="48" t="s">
        <v>271</v>
      </c>
      <c r="X47" s="112"/>
      <c r="Y47" s="112"/>
      <c r="Z47" s="87">
        <v>244632</v>
      </c>
      <c r="AA47" s="64">
        <v>10</v>
      </c>
      <c r="AB47" s="88">
        <v>1600</v>
      </c>
    </row>
    <row r="48" spans="1:28" ht="23.4" customHeight="1">
      <c r="A48" s="47">
        <v>47</v>
      </c>
      <c r="B48" s="48" t="s">
        <v>3</v>
      </c>
      <c r="C48" s="49" t="s">
        <v>266</v>
      </c>
      <c r="D48" s="48" t="s">
        <v>267</v>
      </c>
      <c r="E48" s="48" t="s">
        <v>268</v>
      </c>
      <c r="F48" s="48" t="s">
        <v>269</v>
      </c>
      <c r="G48" s="48" t="s">
        <v>54</v>
      </c>
      <c r="H48" s="48" t="s">
        <v>484</v>
      </c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 t="s">
        <v>288</v>
      </c>
      <c r="U48" s="48"/>
      <c r="V48" s="48" t="s">
        <v>270</v>
      </c>
      <c r="W48" s="48" t="s">
        <v>271</v>
      </c>
      <c r="X48" s="112"/>
      <c r="Y48" s="112"/>
      <c r="Z48" s="87">
        <v>244663</v>
      </c>
      <c r="AA48" s="64">
        <v>10</v>
      </c>
      <c r="AB48" s="88">
        <v>6896</v>
      </c>
    </row>
    <row r="49" spans="1:28" ht="23.4" customHeight="1">
      <c r="A49" s="47">
        <v>48</v>
      </c>
      <c r="B49" s="48" t="s">
        <v>3</v>
      </c>
      <c r="C49" s="49" t="s">
        <v>220</v>
      </c>
      <c r="D49" s="48" t="s">
        <v>294</v>
      </c>
      <c r="E49" s="48" t="s">
        <v>274</v>
      </c>
      <c r="F49" s="48" t="s">
        <v>275</v>
      </c>
      <c r="G49" s="11" t="s">
        <v>33</v>
      </c>
      <c r="H49" s="13" t="s">
        <v>14</v>
      </c>
      <c r="I49" s="51"/>
      <c r="J49" s="51"/>
      <c r="K49" s="51"/>
      <c r="L49" s="51"/>
      <c r="M49" s="51"/>
      <c r="N49" s="51"/>
      <c r="O49" s="51"/>
      <c r="P49" s="13"/>
      <c r="Q49" s="13"/>
      <c r="R49" s="13"/>
      <c r="S49" s="13"/>
      <c r="T49" s="51" t="s">
        <v>285</v>
      </c>
      <c r="U49" s="52" t="s">
        <v>30</v>
      </c>
      <c r="V49" s="48" t="s">
        <v>295</v>
      </c>
      <c r="W49" s="48" t="s">
        <v>271</v>
      </c>
      <c r="X49" s="112"/>
      <c r="Y49" s="112"/>
      <c r="Z49" s="64" t="s">
        <v>482</v>
      </c>
      <c r="AA49" s="64">
        <v>8</v>
      </c>
    </row>
    <row r="50" spans="1:28" ht="23.4" customHeight="1">
      <c r="A50" s="47">
        <v>49</v>
      </c>
      <c r="B50" s="48" t="s">
        <v>3</v>
      </c>
      <c r="C50" s="49" t="s">
        <v>308</v>
      </c>
      <c r="D50" s="48" t="s">
        <v>309</v>
      </c>
      <c r="E50" s="48" t="s">
        <v>268</v>
      </c>
      <c r="F50" s="48" t="s">
        <v>284</v>
      </c>
      <c r="G50" s="48" t="s">
        <v>487</v>
      </c>
      <c r="H50" s="48" t="s">
        <v>488</v>
      </c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 t="s">
        <v>288</v>
      </c>
      <c r="U50" s="48" t="s">
        <v>306</v>
      </c>
      <c r="V50" s="48" t="s">
        <v>310</v>
      </c>
      <c r="W50" s="48" t="s">
        <v>271</v>
      </c>
      <c r="X50" s="112"/>
      <c r="Y50" s="112"/>
      <c r="Z50" s="87">
        <v>244478</v>
      </c>
      <c r="AA50" s="64">
        <v>9</v>
      </c>
      <c r="AB50" s="88">
        <v>1600</v>
      </c>
    </row>
    <row r="51" spans="1:28" ht="23.4" customHeight="1">
      <c r="A51" s="47">
        <v>50</v>
      </c>
      <c r="B51" s="48" t="s">
        <v>3</v>
      </c>
      <c r="C51" s="49" t="s">
        <v>311</v>
      </c>
      <c r="D51" s="48" t="s">
        <v>312</v>
      </c>
      <c r="E51" s="48" t="s">
        <v>268</v>
      </c>
      <c r="F51" s="48" t="s">
        <v>284</v>
      </c>
      <c r="G51" s="48" t="s">
        <v>487</v>
      </c>
      <c r="H51" s="48" t="s">
        <v>488</v>
      </c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 t="s">
        <v>288</v>
      </c>
      <c r="U51" s="48" t="s">
        <v>313</v>
      </c>
      <c r="V51" s="48" t="s">
        <v>310</v>
      </c>
      <c r="W51" s="48" t="s">
        <v>271</v>
      </c>
      <c r="X51" s="112"/>
      <c r="Y51" s="112"/>
      <c r="Z51" s="87">
        <v>244478</v>
      </c>
      <c r="AA51" s="64">
        <v>9</v>
      </c>
      <c r="AB51" s="88">
        <v>1600</v>
      </c>
    </row>
    <row r="52" spans="1:28" ht="23.4" customHeight="1">
      <c r="A52" s="47">
        <v>51</v>
      </c>
      <c r="B52" s="48" t="s">
        <v>3</v>
      </c>
      <c r="C52" s="49" t="s">
        <v>314</v>
      </c>
      <c r="D52" s="48" t="s">
        <v>315</v>
      </c>
      <c r="E52" s="48" t="s">
        <v>274</v>
      </c>
      <c r="F52" s="48" t="s">
        <v>284</v>
      </c>
      <c r="G52" s="48" t="s">
        <v>490</v>
      </c>
      <c r="H52" s="48" t="s">
        <v>489</v>
      </c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 t="s">
        <v>288</v>
      </c>
      <c r="U52" s="48" t="s">
        <v>293</v>
      </c>
      <c r="V52" s="48" t="s">
        <v>316</v>
      </c>
      <c r="W52" s="48" t="s">
        <v>271</v>
      </c>
      <c r="X52" s="112"/>
      <c r="Y52" s="112"/>
      <c r="Z52" s="87">
        <v>244359</v>
      </c>
      <c r="AA52" s="64">
        <v>10</v>
      </c>
      <c r="AB52" s="88">
        <v>1300</v>
      </c>
    </row>
    <row r="54" spans="1:28" ht="23.4" customHeight="1">
      <c r="A54" s="49" t="s">
        <v>266</v>
      </c>
      <c r="B54" s="50" t="s">
        <v>3</v>
      </c>
      <c r="C54" s="50" t="s">
        <v>392</v>
      </c>
      <c r="D54" s="50" t="s">
        <v>393</v>
      </c>
      <c r="E54" s="49" t="s">
        <v>266</v>
      </c>
      <c r="F54" s="50" t="s">
        <v>394</v>
      </c>
      <c r="G54" s="50" t="s">
        <v>478</v>
      </c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 t="s">
        <v>288</v>
      </c>
      <c r="U54" s="48"/>
    </row>
  </sheetData>
  <autoFilter ref="A1:AB52" xr:uid="{AD9622FB-304F-4B6D-AF28-949384283F38}">
    <sortState xmlns:xlrd2="http://schemas.microsoft.com/office/spreadsheetml/2017/richdata2" ref="A2:AB52">
      <sortCondition ref="A1:A52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4C64-BAA4-45FD-AFF5-E5E5CE2BB090}">
  <sheetPr>
    <tabColor theme="4" tint="0.59999389629810485"/>
  </sheetPr>
  <dimension ref="B2:X60"/>
  <sheetViews>
    <sheetView zoomScaleNormal="100" workbookViewId="0">
      <selection activeCell="H11" sqref="H11:H12"/>
    </sheetView>
  </sheetViews>
  <sheetFormatPr defaultColWidth="8.90625" defaultRowHeight="14"/>
  <cols>
    <col min="1" max="1" width="8.90625" style="102"/>
    <col min="2" max="2" width="9.08984375" style="102" bestFit="1" customWidth="1"/>
    <col min="3" max="6" width="8.90625" style="102"/>
    <col min="7" max="7" width="9.6328125" style="102" bestFit="1" customWidth="1"/>
    <col min="8" max="9" width="8.90625" style="102"/>
    <col min="10" max="10" width="12.6328125" style="102" bestFit="1" customWidth="1"/>
    <col min="11" max="13" width="8.90625" style="102"/>
    <col min="14" max="14" width="9" style="102" bestFit="1" customWidth="1"/>
    <col min="15" max="18" width="8.90625" style="102"/>
    <col min="19" max="19" width="9.6328125" style="102" bestFit="1" customWidth="1"/>
    <col min="20" max="16384" width="8.90625" style="102"/>
  </cols>
  <sheetData>
    <row r="2" spans="2:24">
      <c r="B2" s="162" t="s">
        <v>468</v>
      </c>
      <c r="C2" s="163"/>
      <c r="D2" s="163"/>
      <c r="E2" s="163"/>
      <c r="F2" s="163"/>
      <c r="G2" s="163"/>
      <c r="H2" s="163"/>
      <c r="I2" s="163"/>
      <c r="J2" s="163"/>
      <c r="K2" s="163"/>
      <c r="L2" s="164"/>
      <c r="N2" s="132" t="s">
        <v>467</v>
      </c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2:24" ht="20.399999999999999" customHeight="1">
      <c r="B3" s="126" t="s">
        <v>406</v>
      </c>
      <c r="C3" s="126" t="s">
        <v>262</v>
      </c>
      <c r="D3" s="126" t="s">
        <v>407</v>
      </c>
      <c r="E3" s="126" t="s">
        <v>408</v>
      </c>
      <c r="F3" s="126" t="s">
        <v>261</v>
      </c>
      <c r="G3" s="126" t="s">
        <v>409</v>
      </c>
      <c r="H3" s="126" t="s">
        <v>410</v>
      </c>
      <c r="I3" s="91" t="s">
        <v>411</v>
      </c>
      <c r="J3" s="91" t="s">
        <v>413</v>
      </c>
      <c r="K3" s="126" t="s">
        <v>415</v>
      </c>
      <c r="L3" s="126" t="s">
        <v>1</v>
      </c>
      <c r="N3" s="132" t="s">
        <v>406</v>
      </c>
      <c r="O3" s="132" t="s">
        <v>262</v>
      </c>
      <c r="P3" s="132" t="s">
        <v>407</v>
      </c>
      <c r="Q3" s="132" t="s">
        <v>408</v>
      </c>
      <c r="R3" s="132" t="s">
        <v>261</v>
      </c>
      <c r="S3" s="132" t="s">
        <v>409</v>
      </c>
      <c r="T3" s="132" t="s">
        <v>410</v>
      </c>
      <c r="U3" s="103" t="s">
        <v>411</v>
      </c>
      <c r="V3" s="103" t="s">
        <v>413</v>
      </c>
      <c r="W3" s="132" t="s">
        <v>415</v>
      </c>
      <c r="X3" s="132" t="s">
        <v>1</v>
      </c>
    </row>
    <row r="4" spans="2:24">
      <c r="B4" s="127"/>
      <c r="C4" s="127"/>
      <c r="D4" s="127"/>
      <c r="E4" s="127"/>
      <c r="F4" s="127"/>
      <c r="G4" s="127"/>
      <c r="H4" s="127"/>
      <c r="I4" s="92" t="s">
        <v>412</v>
      </c>
      <c r="J4" s="92" t="s">
        <v>414</v>
      </c>
      <c r="K4" s="127"/>
      <c r="L4" s="127"/>
      <c r="N4" s="132"/>
      <c r="O4" s="132"/>
      <c r="P4" s="132"/>
      <c r="Q4" s="132"/>
      <c r="R4" s="132"/>
      <c r="S4" s="132"/>
      <c r="T4" s="132"/>
      <c r="U4" s="103" t="s">
        <v>412</v>
      </c>
      <c r="V4" s="103" t="s">
        <v>414</v>
      </c>
      <c r="W4" s="132"/>
      <c r="X4" s="132"/>
    </row>
    <row r="5" spans="2:24" ht="14.4" customHeight="1">
      <c r="B5" s="126">
        <v>1</v>
      </c>
      <c r="C5" s="91" t="s">
        <v>268</v>
      </c>
      <c r="D5" s="126" t="s">
        <v>223</v>
      </c>
      <c r="E5" s="126" t="s">
        <v>417</v>
      </c>
      <c r="F5" s="126" t="s">
        <v>3</v>
      </c>
      <c r="G5" s="160">
        <v>2800</v>
      </c>
      <c r="H5" s="126" t="s">
        <v>395</v>
      </c>
      <c r="I5" s="126" t="s">
        <v>418</v>
      </c>
      <c r="J5" s="126" t="s">
        <v>405</v>
      </c>
      <c r="K5" s="158" t="s">
        <v>419</v>
      </c>
      <c r="L5" s="126" t="s">
        <v>395</v>
      </c>
      <c r="N5" s="132">
        <v>1</v>
      </c>
      <c r="O5" s="103" t="s">
        <v>268</v>
      </c>
      <c r="P5" s="132" t="s">
        <v>224</v>
      </c>
      <c r="Q5" s="132" t="s">
        <v>455</v>
      </c>
      <c r="R5" s="132" t="s">
        <v>3</v>
      </c>
      <c r="S5" s="155">
        <v>3400</v>
      </c>
      <c r="T5" s="132" t="s">
        <v>395</v>
      </c>
      <c r="U5" s="132" t="s">
        <v>418</v>
      </c>
      <c r="V5" s="132" t="s">
        <v>456</v>
      </c>
      <c r="W5" s="135" t="s">
        <v>419</v>
      </c>
      <c r="X5" s="132" t="s">
        <v>395</v>
      </c>
    </row>
    <row r="6" spans="2:24" ht="28">
      <c r="B6" s="127"/>
      <c r="C6" s="92" t="s">
        <v>416</v>
      </c>
      <c r="D6" s="127"/>
      <c r="E6" s="127"/>
      <c r="F6" s="127"/>
      <c r="G6" s="161"/>
      <c r="H6" s="127"/>
      <c r="I6" s="127"/>
      <c r="J6" s="127"/>
      <c r="K6" s="159"/>
      <c r="L6" s="127"/>
      <c r="N6" s="132"/>
      <c r="O6" s="103" t="s">
        <v>454</v>
      </c>
      <c r="P6" s="132"/>
      <c r="Q6" s="132"/>
      <c r="R6" s="132"/>
      <c r="S6" s="155"/>
      <c r="T6" s="132"/>
      <c r="U6" s="132"/>
      <c r="V6" s="132"/>
      <c r="W6" s="135"/>
      <c r="X6" s="132"/>
    </row>
    <row r="7" spans="2:24" ht="14.4" customHeight="1">
      <c r="B7" s="126">
        <v>2</v>
      </c>
      <c r="C7" s="91" t="s">
        <v>268</v>
      </c>
      <c r="D7" s="126" t="s">
        <v>225</v>
      </c>
      <c r="E7" s="126" t="s">
        <v>421</v>
      </c>
      <c r="F7" s="126" t="s">
        <v>3</v>
      </c>
      <c r="G7" s="160">
        <v>2400</v>
      </c>
      <c r="H7" s="126" t="s">
        <v>395</v>
      </c>
      <c r="I7" s="126" t="s">
        <v>418</v>
      </c>
      <c r="J7" s="126" t="s">
        <v>405</v>
      </c>
      <c r="K7" s="158" t="s">
        <v>419</v>
      </c>
      <c r="L7" s="126" t="s">
        <v>395</v>
      </c>
      <c r="N7" s="132">
        <v>2</v>
      </c>
      <c r="O7" s="103" t="s">
        <v>268</v>
      </c>
      <c r="P7" s="132" t="s">
        <v>227</v>
      </c>
      <c r="Q7" s="132" t="s">
        <v>457</v>
      </c>
      <c r="R7" s="132" t="s">
        <v>3</v>
      </c>
      <c r="S7" s="155">
        <v>3600</v>
      </c>
      <c r="T7" s="132" t="s">
        <v>395</v>
      </c>
      <c r="U7" s="132" t="s">
        <v>418</v>
      </c>
      <c r="V7" s="132" t="s">
        <v>456</v>
      </c>
      <c r="W7" s="135" t="s">
        <v>419</v>
      </c>
      <c r="X7" s="132" t="s">
        <v>395</v>
      </c>
    </row>
    <row r="8" spans="2:24" ht="28">
      <c r="B8" s="127"/>
      <c r="C8" s="92" t="s">
        <v>420</v>
      </c>
      <c r="D8" s="127"/>
      <c r="E8" s="127"/>
      <c r="F8" s="127"/>
      <c r="G8" s="161"/>
      <c r="H8" s="127"/>
      <c r="I8" s="127"/>
      <c r="J8" s="127"/>
      <c r="K8" s="159"/>
      <c r="L8" s="127"/>
      <c r="N8" s="132"/>
      <c r="O8" s="103" t="s">
        <v>454</v>
      </c>
      <c r="P8" s="132"/>
      <c r="Q8" s="132"/>
      <c r="R8" s="132"/>
      <c r="S8" s="155"/>
      <c r="T8" s="132"/>
      <c r="U8" s="132"/>
      <c r="V8" s="132"/>
      <c r="W8" s="135"/>
      <c r="X8" s="132"/>
    </row>
    <row r="9" spans="2:24" ht="14.4" customHeight="1">
      <c r="B9" s="126">
        <v>3</v>
      </c>
      <c r="C9" s="91" t="s">
        <v>268</v>
      </c>
      <c r="D9" s="126" t="s">
        <v>226</v>
      </c>
      <c r="E9" s="126" t="s">
        <v>423</v>
      </c>
      <c r="F9" s="126" t="s">
        <v>3</v>
      </c>
      <c r="G9" s="160">
        <v>3200</v>
      </c>
      <c r="H9" s="126" t="s">
        <v>395</v>
      </c>
      <c r="I9" s="126" t="s">
        <v>418</v>
      </c>
      <c r="J9" s="126" t="s">
        <v>405</v>
      </c>
      <c r="K9" s="158" t="s">
        <v>419</v>
      </c>
      <c r="L9" s="126" t="s">
        <v>395</v>
      </c>
      <c r="N9" s="132">
        <v>3</v>
      </c>
      <c r="O9" s="103" t="s">
        <v>268</v>
      </c>
      <c r="P9" s="132" t="s">
        <v>246</v>
      </c>
      <c r="Q9" s="132" t="s">
        <v>458</v>
      </c>
      <c r="R9" s="132" t="s">
        <v>3</v>
      </c>
      <c r="S9" s="155">
        <v>3200</v>
      </c>
      <c r="T9" s="132" t="s">
        <v>395</v>
      </c>
      <c r="U9" s="132" t="s">
        <v>418</v>
      </c>
      <c r="V9" s="132" t="s">
        <v>456</v>
      </c>
      <c r="W9" s="135" t="s">
        <v>419</v>
      </c>
      <c r="X9" s="132" t="s">
        <v>395</v>
      </c>
    </row>
    <row r="10" spans="2:24" ht="28">
      <c r="B10" s="127"/>
      <c r="C10" s="92" t="s">
        <v>422</v>
      </c>
      <c r="D10" s="127"/>
      <c r="E10" s="127"/>
      <c r="F10" s="127"/>
      <c r="G10" s="161"/>
      <c r="H10" s="127"/>
      <c r="I10" s="127"/>
      <c r="J10" s="127"/>
      <c r="K10" s="159"/>
      <c r="L10" s="127"/>
      <c r="N10" s="132"/>
      <c r="O10" s="103" t="s">
        <v>454</v>
      </c>
      <c r="P10" s="132"/>
      <c r="Q10" s="132"/>
      <c r="R10" s="132"/>
      <c r="S10" s="155"/>
      <c r="T10" s="132"/>
      <c r="U10" s="132"/>
      <c r="V10" s="132"/>
      <c r="W10" s="135"/>
      <c r="X10" s="132"/>
    </row>
    <row r="11" spans="2:24" ht="14.4" customHeight="1">
      <c r="B11" s="126">
        <v>4</v>
      </c>
      <c r="C11" s="91" t="s">
        <v>268</v>
      </c>
      <c r="D11" s="126" t="s">
        <v>229</v>
      </c>
      <c r="E11" s="126" t="s">
        <v>425</v>
      </c>
      <c r="F11" s="126" t="s">
        <v>3</v>
      </c>
      <c r="G11" s="160">
        <v>3200</v>
      </c>
      <c r="H11" s="126" t="s">
        <v>395</v>
      </c>
      <c r="I11" s="126" t="s">
        <v>418</v>
      </c>
      <c r="J11" s="126" t="s">
        <v>405</v>
      </c>
      <c r="K11" s="158" t="s">
        <v>419</v>
      </c>
      <c r="L11" s="126" t="s">
        <v>395</v>
      </c>
      <c r="N11" s="132">
        <v>4</v>
      </c>
      <c r="O11" s="103" t="s">
        <v>341</v>
      </c>
      <c r="P11" s="132" t="s">
        <v>248</v>
      </c>
      <c r="Q11" s="132" t="s">
        <v>459</v>
      </c>
      <c r="R11" s="132" t="s">
        <v>3</v>
      </c>
      <c r="S11" s="155">
        <v>3600</v>
      </c>
      <c r="T11" s="132" t="s">
        <v>395</v>
      </c>
      <c r="U11" s="132" t="s">
        <v>418</v>
      </c>
      <c r="V11" s="132" t="s">
        <v>456</v>
      </c>
      <c r="W11" s="135" t="s">
        <v>419</v>
      </c>
      <c r="X11" s="132" t="s">
        <v>395</v>
      </c>
    </row>
    <row r="12" spans="2:24">
      <c r="B12" s="127"/>
      <c r="C12" s="92" t="s">
        <v>424</v>
      </c>
      <c r="D12" s="127"/>
      <c r="E12" s="127"/>
      <c r="F12" s="127"/>
      <c r="G12" s="161"/>
      <c r="H12" s="127"/>
      <c r="I12" s="127"/>
      <c r="J12" s="127"/>
      <c r="K12" s="159"/>
      <c r="L12" s="127"/>
      <c r="N12" s="132"/>
      <c r="O12" s="103" t="s">
        <v>432</v>
      </c>
      <c r="P12" s="132"/>
      <c r="Q12" s="132"/>
      <c r="R12" s="132"/>
      <c r="S12" s="155"/>
      <c r="T12" s="132"/>
      <c r="U12" s="132"/>
      <c r="V12" s="132"/>
      <c r="W12" s="135"/>
      <c r="X12" s="132"/>
    </row>
    <row r="13" spans="2:24" ht="14.4" customHeight="1">
      <c r="B13" s="126">
        <v>5</v>
      </c>
      <c r="C13" s="91" t="s">
        <v>268</v>
      </c>
      <c r="D13" s="126" t="s">
        <v>252</v>
      </c>
      <c r="E13" s="126" t="s">
        <v>427</v>
      </c>
      <c r="F13" s="126" t="s">
        <v>3</v>
      </c>
      <c r="G13" s="160">
        <v>3400</v>
      </c>
      <c r="H13" s="126" t="s">
        <v>395</v>
      </c>
      <c r="I13" s="126" t="s">
        <v>418</v>
      </c>
      <c r="J13" s="126" t="s">
        <v>405</v>
      </c>
      <c r="K13" s="158" t="s">
        <v>419</v>
      </c>
      <c r="L13" s="126" t="s">
        <v>395</v>
      </c>
      <c r="N13" s="132">
        <v>5</v>
      </c>
      <c r="O13" s="103" t="s">
        <v>268</v>
      </c>
      <c r="P13" s="132" t="s">
        <v>249</v>
      </c>
      <c r="Q13" s="132" t="s">
        <v>460</v>
      </c>
      <c r="R13" s="132" t="s">
        <v>3</v>
      </c>
      <c r="S13" s="155">
        <v>3400</v>
      </c>
      <c r="T13" s="132" t="s">
        <v>395</v>
      </c>
      <c r="U13" s="132" t="s">
        <v>418</v>
      </c>
      <c r="V13" s="132" t="s">
        <v>456</v>
      </c>
      <c r="W13" s="135" t="s">
        <v>419</v>
      </c>
      <c r="X13" s="132" t="s">
        <v>395</v>
      </c>
    </row>
    <row r="14" spans="2:24" ht="28">
      <c r="B14" s="127"/>
      <c r="C14" s="92" t="s">
        <v>426</v>
      </c>
      <c r="D14" s="127"/>
      <c r="E14" s="127"/>
      <c r="F14" s="127"/>
      <c r="G14" s="161"/>
      <c r="H14" s="127"/>
      <c r="I14" s="127"/>
      <c r="J14" s="127"/>
      <c r="K14" s="159"/>
      <c r="L14" s="127"/>
      <c r="N14" s="132"/>
      <c r="O14" s="103" t="s">
        <v>454</v>
      </c>
      <c r="P14" s="132"/>
      <c r="Q14" s="132"/>
      <c r="R14" s="132"/>
      <c r="S14" s="155"/>
      <c r="T14" s="132"/>
      <c r="U14" s="132"/>
      <c r="V14" s="132"/>
      <c r="W14" s="135"/>
      <c r="X14" s="132"/>
    </row>
    <row r="15" spans="2:24" ht="28">
      <c r="B15" s="126">
        <v>6</v>
      </c>
      <c r="C15" s="91" t="s">
        <v>268</v>
      </c>
      <c r="D15" s="126" t="s">
        <v>253</v>
      </c>
      <c r="E15" s="126" t="s">
        <v>429</v>
      </c>
      <c r="F15" s="126" t="s">
        <v>3</v>
      </c>
      <c r="G15" s="160">
        <v>3600</v>
      </c>
      <c r="H15" s="126" t="s">
        <v>395</v>
      </c>
      <c r="I15" s="126" t="s">
        <v>418</v>
      </c>
      <c r="J15" s="126" t="s">
        <v>405</v>
      </c>
      <c r="K15" s="158" t="s">
        <v>419</v>
      </c>
      <c r="L15" s="126" t="s">
        <v>395</v>
      </c>
      <c r="N15" s="132">
        <v>6</v>
      </c>
      <c r="O15" s="103" t="s">
        <v>387</v>
      </c>
      <c r="P15" s="132" t="s">
        <v>258</v>
      </c>
      <c r="Q15" s="132" t="s">
        <v>462</v>
      </c>
      <c r="R15" s="132" t="s">
        <v>3</v>
      </c>
      <c r="S15" s="155">
        <v>3600</v>
      </c>
      <c r="T15" s="132" t="s">
        <v>395</v>
      </c>
      <c r="U15" s="132" t="s">
        <v>418</v>
      </c>
      <c r="V15" s="132" t="s">
        <v>456</v>
      </c>
      <c r="W15" s="135" t="s">
        <v>419</v>
      </c>
      <c r="X15" s="132" t="s">
        <v>395</v>
      </c>
    </row>
    <row r="16" spans="2:24" ht="28">
      <c r="B16" s="127"/>
      <c r="C16" s="92" t="s">
        <v>428</v>
      </c>
      <c r="D16" s="127"/>
      <c r="E16" s="127"/>
      <c r="F16" s="127"/>
      <c r="G16" s="161"/>
      <c r="H16" s="127"/>
      <c r="I16" s="127"/>
      <c r="J16" s="127"/>
      <c r="K16" s="159"/>
      <c r="L16" s="127"/>
      <c r="N16" s="132"/>
      <c r="O16" s="103" t="s">
        <v>461</v>
      </c>
      <c r="P16" s="132"/>
      <c r="Q16" s="132"/>
      <c r="R16" s="132"/>
      <c r="S16" s="155"/>
      <c r="T16" s="132"/>
      <c r="U16" s="132"/>
      <c r="V16" s="132"/>
      <c r="W16" s="135"/>
      <c r="X16" s="132"/>
    </row>
    <row r="17" spans="2:24" ht="14.4" customHeight="1">
      <c r="B17" s="126">
        <v>7</v>
      </c>
      <c r="C17" s="91" t="s">
        <v>381</v>
      </c>
      <c r="D17" s="126" t="s">
        <v>255</v>
      </c>
      <c r="E17" s="126" t="s">
        <v>431</v>
      </c>
      <c r="F17" s="126" t="s">
        <v>3</v>
      </c>
      <c r="G17" s="160">
        <v>3600</v>
      </c>
      <c r="H17" s="126" t="s">
        <v>395</v>
      </c>
      <c r="I17" s="126" t="s">
        <v>418</v>
      </c>
      <c r="J17" s="126" t="s">
        <v>405</v>
      </c>
      <c r="K17" s="158" t="s">
        <v>419</v>
      </c>
      <c r="L17" s="126" t="s">
        <v>395</v>
      </c>
      <c r="N17" s="132">
        <v>7</v>
      </c>
      <c r="O17" s="103" t="s">
        <v>387</v>
      </c>
      <c r="P17" s="132" t="s">
        <v>260</v>
      </c>
      <c r="Q17" s="132" t="s">
        <v>464</v>
      </c>
      <c r="R17" s="132" t="s">
        <v>3</v>
      </c>
      <c r="S17" s="155">
        <v>3600</v>
      </c>
      <c r="T17" s="132" t="s">
        <v>395</v>
      </c>
      <c r="U17" s="132" t="s">
        <v>418</v>
      </c>
      <c r="V17" s="132" t="s">
        <v>456</v>
      </c>
      <c r="W17" s="135" t="s">
        <v>419</v>
      </c>
      <c r="X17" s="132" t="s">
        <v>395</v>
      </c>
    </row>
    <row r="18" spans="2:24" ht="28">
      <c r="B18" s="127"/>
      <c r="C18" s="92" t="s">
        <v>430</v>
      </c>
      <c r="D18" s="127"/>
      <c r="E18" s="127"/>
      <c r="F18" s="127"/>
      <c r="G18" s="161"/>
      <c r="H18" s="127"/>
      <c r="I18" s="127"/>
      <c r="J18" s="127"/>
      <c r="K18" s="159"/>
      <c r="L18" s="127"/>
      <c r="N18" s="132"/>
      <c r="O18" s="103" t="s">
        <v>463</v>
      </c>
      <c r="P18" s="132"/>
      <c r="Q18" s="132"/>
      <c r="R18" s="132"/>
      <c r="S18" s="155"/>
      <c r="T18" s="132"/>
      <c r="U18" s="132"/>
      <c r="V18" s="132"/>
      <c r="W18" s="135"/>
      <c r="X18" s="132"/>
    </row>
    <row r="19" spans="2:24" ht="28">
      <c r="B19" s="126">
        <v>8</v>
      </c>
      <c r="C19" s="91" t="s">
        <v>387</v>
      </c>
      <c r="D19" s="126" t="s">
        <v>257</v>
      </c>
      <c r="E19" s="126" t="s">
        <v>433</v>
      </c>
      <c r="F19" s="126" t="s">
        <v>3</v>
      </c>
      <c r="G19" s="160">
        <v>3400</v>
      </c>
      <c r="H19" s="126" t="s">
        <v>395</v>
      </c>
      <c r="I19" s="126" t="s">
        <v>418</v>
      </c>
      <c r="J19" s="126" t="s">
        <v>405</v>
      </c>
      <c r="K19" s="158" t="s">
        <v>419</v>
      </c>
      <c r="L19" s="126" t="s">
        <v>395</v>
      </c>
      <c r="N19" s="132">
        <v>8</v>
      </c>
      <c r="O19" s="103" t="s">
        <v>268</v>
      </c>
      <c r="P19" s="132" t="s">
        <v>254</v>
      </c>
      <c r="Q19" s="132" t="s">
        <v>465</v>
      </c>
      <c r="R19" s="132" t="s">
        <v>3</v>
      </c>
      <c r="S19" s="155">
        <v>3600</v>
      </c>
      <c r="T19" s="132" t="s">
        <v>395</v>
      </c>
      <c r="U19" s="132" t="s">
        <v>418</v>
      </c>
      <c r="V19" s="132" t="s">
        <v>456</v>
      </c>
      <c r="W19" s="135" t="s">
        <v>419</v>
      </c>
      <c r="X19" s="132" t="s">
        <v>395</v>
      </c>
    </row>
    <row r="20" spans="2:24" ht="28">
      <c r="B20" s="127"/>
      <c r="C20" s="92" t="s">
        <v>432</v>
      </c>
      <c r="D20" s="127"/>
      <c r="E20" s="127"/>
      <c r="F20" s="127"/>
      <c r="G20" s="161"/>
      <c r="H20" s="127"/>
      <c r="I20" s="127"/>
      <c r="J20" s="127"/>
      <c r="K20" s="159"/>
      <c r="L20" s="127"/>
      <c r="N20" s="132"/>
      <c r="O20" s="103" t="s">
        <v>454</v>
      </c>
      <c r="P20" s="132"/>
      <c r="Q20" s="132"/>
      <c r="R20" s="132"/>
      <c r="S20" s="155"/>
      <c r="T20" s="132"/>
      <c r="U20" s="132"/>
      <c r="V20" s="132"/>
      <c r="W20" s="135"/>
      <c r="X20" s="132"/>
    </row>
    <row r="21" spans="2:24">
      <c r="N21" s="133" t="s">
        <v>453</v>
      </c>
      <c r="O21" s="133"/>
      <c r="P21" s="133"/>
      <c r="Q21" s="133"/>
      <c r="R21" s="133"/>
      <c r="S21" s="133"/>
      <c r="T21" s="133"/>
      <c r="U21" s="133"/>
      <c r="V21" s="133"/>
      <c r="W21" s="133"/>
      <c r="X21" s="133"/>
    </row>
    <row r="22" spans="2:24" ht="20">
      <c r="B22" s="136" t="s">
        <v>469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8"/>
      <c r="N22" s="123" t="s">
        <v>406</v>
      </c>
      <c r="O22" s="123" t="s">
        <v>262</v>
      </c>
      <c r="P22" s="123" t="s">
        <v>407</v>
      </c>
      <c r="Q22" s="123" t="s">
        <v>408</v>
      </c>
      <c r="R22" s="123" t="s">
        <v>261</v>
      </c>
      <c r="S22" s="123" t="s">
        <v>409</v>
      </c>
      <c r="T22" s="123" t="s">
        <v>410</v>
      </c>
      <c r="U22" s="90" t="s">
        <v>411</v>
      </c>
      <c r="V22" s="90" t="s">
        <v>413</v>
      </c>
      <c r="W22" s="123" t="s">
        <v>415</v>
      </c>
      <c r="X22" s="123" t="s">
        <v>1</v>
      </c>
    </row>
    <row r="23" spans="2:24" ht="28">
      <c r="B23" s="128" t="s">
        <v>406</v>
      </c>
      <c r="C23" s="128" t="s">
        <v>262</v>
      </c>
      <c r="D23" s="128" t="s">
        <v>407</v>
      </c>
      <c r="E23" s="128" t="s">
        <v>408</v>
      </c>
      <c r="F23" s="128" t="s">
        <v>261</v>
      </c>
      <c r="G23" s="128" t="s">
        <v>409</v>
      </c>
      <c r="H23" s="128" t="s">
        <v>410</v>
      </c>
      <c r="I23" s="93" t="s">
        <v>411</v>
      </c>
      <c r="J23" s="93" t="s">
        <v>413</v>
      </c>
      <c r="K23" s="128" t="s">
        <v>415</v>
      </c>
      <c r="L23" s="128" t="s">
        <v>1</v>
      </c>
      <c r="N23" s="123"/>
      <c r="O23" s="123"/>
      <c r="P23" s="123"/>
      <c r="Q23" s="123"/>
      <c r="R23" s="123"/>
      <c r="S23" s="123"/>
      <c r="T23" s="123"/>
      <c r="U23" s="90" t="s">
        <v>412</v>
      </c>
      <c r="V23" s="90" t="s">
        <v>414</v>
      </c>
      <c r="W23" s="123"/>
      <c r="X23" s="123"/>
    </row>
    <row r="24" spans="2:24" ht="15" customHeight="1">
      <c r="B24" s="129"/>
      <c r="C24" s="129"/>
      <c r="D24" s="129"/>
      <c r="E24" s="129"/>
      <c r="F24" s="129"/>
      <c r="G24" s="129"/>
      <c r="H24" s="129"/>
      <c r="I24" s="94" t="s">
        <v>412</v>
      </c>
      <c r="J24" s="94" t="s">
        <v>414</v>
      </c>
      <c r="K24" s="129"/>
      <c r="L24" s="129"/>
      <c r="N24" s="123">
        <v>9</v>
      </c>
      <c r="O24" s="90" t="s">
        <v>268</v>
      </c>
      <c r="P24" s="123" t="s">
        <v>228</v>
      </c>
      <c r="Q24" s="123" t="s">
        <v>476</v>
      </c>
      <c r="R24" s="123" t="s">
        <v>3</v>
      </c>
      <c r="S24" s="154">
        <v>3600</v>
      </c>
      <c r="T24" s="123" t="s">
        <v>395</v>
      </c>
      <c r="U24" s="123" t="s">
        <v>418</v>
      </c>
      <c r="V24" s="123" t="s">
        <v>477</v>
      </c>
      <c r="W24" s="141" t="s">
        <v>419</v>
      </c>
      <c r="X24" s="123" t="s">
        <v>395</v>
      </c>
    </row>
    <row r="25" spans="2:24">
      <c r="B25" s="128">
        <v>1</v>
      </c>
      <c r="C25" s="93" t="s">
        <v>268</v>
      </c>
      <c r="D25" s="128" t="s">
        <v>308</v>
      </c>
      <c r="E25" s="128" t="s">
        <v>439</v>
      </c>
      <c r="F25" s="128" t="s">
        <v>3</v>
      </c>
      <c r="G25" s="130">
        <v>1600</v>
      </c>
      <c r="H25" s="128" t="s">
        <v>395</v>
      </c>
      <c r="I25" s="128" t="s">
        <v>418</v>
      </c>
      <c r="J25" s="142">
        <v>244478</v>
      </c>
      <c r="K25" s="144" t="s">
        <v>419</v>
      </c>
      <c r="L25" s="128" t="s">
        <v>395</v>
      </c>
      <c r="N25" s="123"/>
      <c r="O25" s="90" t="s">
        <v>454</v>
      </c>
      <c r="P25" s="123"/>
      <c r="Q25" s="123"/>
      <c r="R25" s="123"/>
      <c r="S25" s="154"/>
      <c r="T25" s="123"/>
      <c r="U25" s="123"/>
      <c r="V25" s="123"/>
      <c r="W25" s="141"/>
      <c r="X25" s="123"/>
    </row>
    <row r="26" spans="2:24" ht="42">
      <c r="B26" s="129"/>
      <c r="C26" s="94" t="s">
        <v>438</v>
      </c>
      <c r="D26" s="129"/>
      <c r="E26" s="129"/>
      <c r="F26" s="129"/>
      <c r="G26" s="131"/>
      <c r="H26" s="129"/>
      <c r="I26" s="129"/>
      <c r="J26" s="143"/>
      <c r="K26" s="145"/>
      <c r="L26" s="129"/>
    </row>
    <row r="27" spans="2:24" ht="14.4" customHeight="1">
      <c r="B27" s="128">
        <v>2</v>
      </c>
      <c r="C27" s="93" t="s">
        <v>268</v>
      </c>
      <c r="D27" s="128" t="s">
        <v>311</v>
      </c>
      <c r="E27" s="128" t="s">
        <v>441</v>
      </c>
      <c r="F27" s="128" t="s">
        <v>3</v>
      </c>
      <c r="G27" s="130">
        <v>1600</v>
      </c>
      <c r="H27" s="128" t="s">
        <v>395</v>
      </c>
      <c r="I27" s="128" t="s">
        <v>418</v>
      </c>
      <c r="J27" s="142">
        <v>244478</v>
      </c>
      <c r="K27" s="144" t="s">
        <v>419</v>
      </c>
      <c r="L27" s="128" t="s">
        <v>395</v>
      </c>
    </row>
    <row r="28" spans="2:24">
      <c r="B28" s="129"/>
      <c r="C28" s="94" t="s">
        <v>440</v>
      </c>
      <c r="D28" s="129"/>
      <c r="E28" s="129"/>
      <c r="F28" s="129"/>
      <c r="G28" s="131"/>
      <c r="H28" s="129"/>
      <c r="I28" s="129"/>
      <c r="J28" s="143"/>
      <c r="K28" s="145"/>
      <c r="L28" s="129"/>
    </row>
    <row r="29" spans="2:24">
      <c r="B29" s="128">
        <v>3</v>
      </c>
      <c r="C29" s="93" t="s">
        <v>268</v>
      </c>
      <c r="D29" s="128" t="s">
        <v>218</v>
      </c>
      <c r="E29" s="128" t="s">
        <v>443</v>
      </c>
      <c r="F29" s="128" t="s">
        <v>3</v>
      </c>
      <c r="G29" s="130">
        <v>1600</v>
      </c>
      <c r="H29" s="128" t="s">
        <v>395</v>
      </c>
      <c r="I29" s="128" t="s">
        <v>418</v>
      </c>
      <c r="J29" s="128" t="s">
        <v>437</v>
      </c>
      <c r="K29" s="144" t="s">
        <v>419</v>
      </c>
      <c r="L29" s="128" t="s">
        <v>395</v>
      </c>
    </row>
    <row r="30" spans="2:24" ht="42">
      <c r="B30" s="129"/>
      <c r="C30" s="94" t="s">
        <v>442</v>
      </c>
      <c r="D30" s="129"/>
      <c r="E30" s="129"/>
      <c r="F30" s="129"/>
      <c r="G30" s="131"/>
      <c r="H30" s="129"/>
      <c r="I30" s="129"/>
      <c r="J30" s="129"/>
      <c r="K30" s="145"/>
      <c r="L30" s="129"/>
    </row>
    <row r="32" spans="2:24" ht="17.399999999999999" customHeight="1">
      <c r="B32" s="162" t="s">
        <v>470</v>
      </c>
      <c r="C32" s="163"/>
      <c r="D32" s="163"/>
      <c r="E32" s="163"/>
      <c r="F32" s="163"/>
      <c r="G32" s="163"/>
      <c r="H32" s="163"/>
      <c r="I32" s="163"/>
      <c r="J32" s="163"/>
      <c r="K32" s="163"/>
      <c r="L32" s="164"/>
    </row>
    <row r="33" spans="2:12" ht="28">
      <c r="B33" s="126" t="s">
        <v>406</v>
      </c>
      <c r="C33" s="126" t="s">
        <v>262</v>
      </c>
      <c r="D33" s="126" t="s">
        <v>407</v>
      </c>
      <c r="E33" s="126" t="s">
        <v>408</v>
      </c>
      <c r="F33" s="126" t="s">
        <v>261</v>
      </c>
      <c r="G33" s="126" t="s">
        <v>409</v>
      </c>
      <c r="H33" s="126" t="s">
        <v>410</v>
      </c>
      <c r="I33" s="91" t="s">
        <v>411</v>
      </c>
      <c r="J33" s="91" t="s">
        <v>413</v>
      </c>
      <c r="K33" s="126" t="s">
        <v>415</v>
      </c>
      <c r="L33" s="126" t="s">
        <v>1</v>
      </c>
    </row>
    <row r="34" spans="2:12">
      <c r="B34" s="127"/>
      <c r="C34" s="127"/>
      <c r="D34" s="127"/>
      <c r="E34" s="127"/>
      <c r="F34" s="127"/>
      <c r="G34" s="127"/>
      <c r="H34" s="127"/>
      <c r="I34" s="92" t="s">
        <v>412</v>
      </c>
      <c r="J34" s="92" t="s">
        <v>414</v>
      </c>
      <c r="K34" s="127"/>
      <c r="L34" s="127"/>
    </row>
    <row r="35" spans="2:12">
      <c r="B35" s="126">
        <v>1</v>
      </c>
      <c r="C35" s="91" t="s">
        <v>268</v>
      </c>
      <c r="D35" s="126" t="s">
        <v>266</v>
      </c>
      <c r="E35" s="126" t="s">
        <v>445</v>
      </c>
      <c r="F35" s="126" t="s">
        <v>3</v>
      </c>
      <c r="G35" s="160">
        <v>6896</v>
      </c>
      <c r="H35" s="126" t="s">
        <v>395</v>
      </c>
      <c r="I35" s="126" t="s">
        <v>418</v>
      </c>
      <c r="J35" s="156">
        <v>244663</v>
      </c>
      <c r="K35" s="158" t="s">
        <v>419</v>
      </c>
      <c r="L35" s="126" t="s">
        <v>395</v>
      </c>
    </row>
    <row r="36" spans="2:12" ht="42">
      <c r="B36" s="127"/>
      <c r="C36" s="92" t="s">
        <v>444</v>
      </c>
      <c r="D36" s="127"/>
      <c r="E36" s="127"/>
      <c r="F36" s="127"/>
      <c r="G36" s="161"/>
      <c r="H36" s="127"/>
      <c r="I36" s="127"/>
      <c r="J36" s="157"/>
      <c r="K36" s="159"/>
      <c r="L36" s="127"/>
    </row>
    <row r="37" spans="2:12" ht="14" customHeight="1">
      <c r="B37" s="124">
        <v>1</v>
      </c>
      <c r="C37" s="107" t="s">
        <v>268</v>
      </c>
      <c r="D37" s="124" t="s">
        <v>392</v>
      </c>
      <c r="E37" s="124" t="s">
        <v>445</v>
      </c>
      <c r="F37" s="124" t="s">
        <v>3</v>
      </c>
      <c r="G37" s="165">
        <v>6896</v>
      </c>
      <c r="H37" s="124" t="s">
        <v>395</v>
      </c>
      <c r="I37" s="124" t="s">
        <v>418</v>
      </c>
      <c r="J37" s="150">
        <v>244298</v>
      </c>
      <c r="K37" s="152" t="s">
        <v>419</v>
      </c>
      <c r="L37" s="124" t="s">
        <v>395</v>
      </c>
    </row>
    <row r="38" spans="2:12" ht="20">
      <c r="B38" s="125"/>
      <c r="C38" s="108" t="s">
        <v>444</v>
      </c>
      <c r="D38" s="125"/>
      <c r="E38" s="125"/>
      <c r="F38" s="125"/>
      <c r="G38" s="166"/>
      <c r="H38" s="125"/>
      <c r="I38" s="125"/>
      <c r="J38" s="151"/>
      <c r="K38" s="153"/>
      <c r="L38" s="125"/>
    </row>
    <row r="39" spans="2:12">
      <c r="B39" s="126">
        <v>2</v>
      </c>
      <c r="C39" s="91" t="s">
        <v>274</v>
      </c>
      <c r="D39" s="126" t="s">
        <v>299</v>
      </c>
      <c r="E39" s="126" t="s">
        <v>447</v>
      </c>
      <c r="F39" s="126" t="s">
        <v>3</v>
      </c>
      <c r="G39" s="160">
        <v>1600</v>
      </c>
      <c r="H39" s="126" t="s">
        <v>395</v>
      </c>
      <c r="I39" s="126" t="s">
        <v>418</v>
      </c>
      <c r="J39" s="156">
        <v>244632</v>
      </c>
      <c r="K39" s="158" t="s">
        <v>419</v>
      </c>
      <c r="L39" s="126" t="s">
        <v>395</v>
      </c>
    </row>
    <row r="40" spans="2:12" ht="56">
      <c r="B40" s="127"/>
      <c r="C40" s="92" t="s">
        <v>446</v>
      </c>
      <c r="D40" s="127"/>
      <c r="E40" s="127"/>
      <c r="F40" s="127"/>
      <c r="G40" s="161"/>
      <c r="H40" s="127"/>
      <c r="I40" s="127"/>
      <c r="J40" s="157"/>
      <c r="K40" s="159"/>
      <c r="L40" s="127"/>
    </row>
    <row r="41" spans="2:12">
      <c r="B41" s="126">
        <v>3</v>
      </c>
      <c r="C41" s="91" t="s">
        <v>274</v>
      </c>
      <c r="D41" s="126" t="s">
        <v>314</v>
      </c>
      <c r="E41" s="126" t="s">
        <v>449</v>
      </c>
      <c r="F41" s="126" t="s">
        <v>3</v>
      </c>
      <c r="G41" s="160">
        <v>1300</v>
      </c>
      <c r="H41" s="126" t="s">
        <v>395</v>
      </c>
      <c r="I41" s="126" t="s">
        <v>418</v>
      </c>
      <c r="J41" s="156">
        <v>244359</v>
      </c>
      <c r="K41" s="158" t="s">
        <v>419</v>
      </c>
      <c r="L41" s="126" t="s">
        <v>395</v>
      </c>
    </row>
    <row r="42" spans="2:12" ht="56">
      <c r="B42" s="127"/>
      <c r="C42" s="92" t="s">
        <v>448</v>
      </c>
      <c r="D42" s="127"/>
      <c r="E42" s="127"/>
      <c r="F42" s="127"/>
      <c r="G42" s="161"/>
      <c r="H42" s="127"/>
      <c r="I42" s="127"/>
      <c r="J42" s="157"/>
      <c r="K42" s="159"/>
      <c r="L42" s="127"/>
    </row>
    <row r="43" spans="2:12">
      <c r="B43" s="126">
        <v>4</v>
      </c>
      <c r="C43" s="91" t="s">
        <v>274</v>
      </c>
      <c r="D43" s="126" t="s">
        <v>277</v>
      </c>
      <c r="E43" s="126" t="s">
        <v>451</v>
      </c>
      <c r="F43" s="126" t="s">
        <v>3</v>
      </c>
      <c r="G43" s="160">
        <v>1300</v>
      </c>
      <c r="H43" s="126" t="s">
        <v>395</v>
      </c>
      <c r="I43" s="126" t="s">
        <v>418</v>
      </c>
      <c r="J43" s="126" t="s">
        <v>452</v>
      </c>
      <c r="K43" s="158" t="s">
        <v>419</v>
      </c>
      <c r="L43" s="126" t="s">
        <v>395</v>
      </c>
    </row>
    <row r="44" spans="2:12" ht="56">
      <c r="B44" s="127"/>
      <c r="C44" s="92" t="s">
        <v>450</v>
      </c>
      <c r="D44" s="127"/>
      <c r="E44" s="127"/>
      <c r="F44" s="127"/>
      <c r="G44" s="161"/>
      <c r="H44" s="127"/>
      <c r="I44" s="127"/>
      <c r="J44" s="127"/>
      <c r="K44" s="159"/>
      <c r="L44" s="127"/>
    </row>
    <row r="45" spans="2:12">
      <c r="B45" s="95"/>
      <c r="C45" s="96"/>
      <c r="D45" s="96"/>
      <c r="E45" s="96"/>
      <c r="F45" s="96"/>
      <c r="G45" s="97"/>
      <c r="H45" s="96"/>
      <c r="I45" s="96"/>
      <c r="J45" s="96"/>
      <c r="K45" s="104"/>
      <c r="L45" s="98"/>
    </row>
    <row r="46" spans="2:12">
      <c r="B46" s="169" t="s">
        <v>471</v>
      </c>
      <c r="C46" s="170"/>
      <c r="D46" s="170"/>
      <c r="E46" s="170"/>
      <c r="F46" s="170"/>
      <c r="G46" s="170"/>
      <c r="H46" s="170"/>
      <c r="I46" s="170"/>
      <c r="J46" s="170"/>
      <c r="K46" s="170"/>
      <c r="L46" s="171"/>
    </row>
    <row r="47" spans="2:12" ht="28">
      <c r="B47" s="139" t="s">
        <v>406</v>
      </c>
      <c r="C47" s="139" t="s">
        <v>262</v>
      </c>
      <c r="D47" s="139" t="s">
        <v>407</v>
      </c>
      <c r="E47" s="139" t="s">
        <v>408</v>
      </c>
      <c r="F47" s="139" t="s">
        <v>261</v>
      </c>
      <c r="G47" s="139" t="s">
        <v>409</v>
      </c>
      <c r="H47" s="139" t="s">
        <v>410</v>
      </c>
      <c r="I47" s="99" t="s">
        <v>411</v>
      </c>
      <c r="J47" s="99" t="s">
        <v>413</v>
      </c>
      <c r="K47" s="139" t="s">
        <v>415</v>
      </c>
      <c r="L47" s="139" t="s">
        <v>1</v>
      </c>
    </row>
    <row r="48" spans="2:12">
      <c r="B48" s="140"/>
      <c r="C48" s="140"/>
      <c r="D48" s="140"/>
      <c r="E48" s="140"/>
      <c r="F48" s="140"/>
      <c r="G48" s="140"/>
      <c r="H48" s="140"/>
      <c r="I48" s="100" t="s">
        <v>412</v>
      </c>
      <c r="J48" s="100" t="s">
        <v>414</v>
      </c>
      <c r="K48" s="140"/>
      <c r="L48" s="140"/>
    </row>
    <row r="49" spans="2:12">
      <c r="B49" s="139">
        <v>1</v>
      </c>
      <c r="C49" s="99" t="s">
        <v>274</v>
      </c>
      <c r="D49" s="139" t="s">
        <v>221</v>
      </c>
      <c r="E49" s="139" t="s">
        <v>435</v>
      </c>
      <c r="F49" s="139" t="s">
        <v>3</v>
      </c>
      <c r="G49" s="167">
        <v>4876</v>
      </c>
      <c r="H49" s="139" t="s">
        <v>395</v>
      </c>
      <c r="I49" s="139" t="s">
        <v>418</v>
      </c>
      <c r="J49" s="146">
        <v>244664</v>
      </c>
      <c r="K49" s="148" t="s">
        <v>419</v>
      </c>
      <c r="L49" s="139" t="s">
        <v>395</v>
      </c>
    </row>
    <row r="50" spans="2:12" ht="56">
      <c r="B50" s="140"/>
      <c r="C50" s="100" t="s">
        <v>434</v>
      </c>
      <c r="D50" s="140"/>
      <c r="E50" s="140"/>
      <c r="F50" s="140"/>
      <c r="G50" s="168"/>
      <c r="H50" s="140"/>
      <c r="I50" s="140"/>
      <c r="J50" s="147"/>
      <c r="K50" s="149"/>
      <c r="L50" s="140"/>
    </row>
    <row r="51" spans="2:12">
      <c r="B51" s="139">
        <v>2</v>
      </c>
      <c r="C51" s="99" t="s">
        <v>274</v>
      </c>
      <c r="D51" s="139" t="s">
        <v>222</v>
      </c>
      <c r="E51" s="139" t="s">
        <v>436</v>
      </c>
      <c r="F51" s="139" t="s">
        <v>3</v>
      </c>
      <c r="G51" s="167">
        <v>4876</v>
      </c>
      <c r="H51" s="139" t="s">
        <v>395</v>
      </c>
      <c r="I51" s="139" t="s">
        <v>418</v>
      </c>
      <c r="J51" s="146">
        <v>244664</v>
      </c>
      <c r="K51" s="148" t="s">
        <v>419</v>
      </c>
      <c r="L51" s="139" t="s">
        <v>395</v>
      </c>
    </row>
    <row r="52" spans="2:12" ht="56">
      <c r="B52" s="140"/>
      <c r="C52" s="100" t="s">
        <v>434</v>
      </c>
      <c r="D52" s="140"/>
      <c r="E52" s="140"/>
      <c r="F52" s="140"/>
      <c r="G52" s="168"/>
      <c r="H52" s="140"/>
      <c r="I52" s="140"/>
      <c r="J52" s="147"/>
      <c r="K52" s="149"/>
      <c r="L52" s="140"/>
    </row>
    <row r="54" spans="2:12">
      <c r="B54" s="132" t="s">
        <v>475</v>
      </c>
      <c r="C54" s="132"/>
      <c r="D54" s="132"/>
      <c r="E54" s="132"/>
      <c r="F54" s="132"/>
      <c r="G54" s="132"/>
      <c r="H54" s="132"/>
      <c r="I54" s="132"/>
      <c r="J54" s="132"/>
      <c r="K54" s="132"/>
      <c r="L54" s="132"/>
    </row>
    <row r="55" spans="2:12" ht="28">
      <c r="B55" s="132" t="s">
        <v>406</v>
      </c>
      <c r="C55" s="132" t="s">
        <v>262</v>
      </c>
      <c r="D55" s="132" t="s">
        <v>407</v>
      </c>
      <c r="E55" s="132" t="s">
        <v>408</v>
      </c>
      <c r="F55" s="132" t="s">
        <v>261</v>
      </c>
      <c r="G55" s="132" t="s">
        <v>409</v>
      </c>
      <c r="H55" s="132" t="s">
        <v>410</v>
      </c>
      <c r="I55" s="103" t="s">
        <v>411</v>
      </c>
      <c r="J55" s="103" t="s">
        <v>413</v>
      </c>
      <c r="K55" s="132" t="s">
        <v>415</v>
      </c>
      <c r="L55" s="132" t="s">
        <v>1</v>
      </c>
    </row>
    <row r="56" spans="2:12">
      <c r="B56" s="132"/>
      <c r="C56" s="132"/>
      <c r="D56" s="132"/>
      <c r="E56" s="132"/>
      <c r="F56" s="132"/>
      <c r="G56" s="132"/>
      <c r="H56" s="132"/>
      <c r="I56" s="103" t="s">
        <v>412</v>
      </c>
      <c r="J56" s="103" t="s">
        <v>414</v>
      </c>
      <c r="K56" s="132"/>
      <c r="L56" s="132"/>
    </row>
    <row r="57" spans="2:12">
      <c r="B57" s="132">
        <v>1</v>
      </c>
      <c r="C57" s="103" t="s">
        <v>274</v>
      </c>
      <c r="D57" s="132" t="s">
        <v>219</v>
      </c>
      <c r="E57" s="132" t="s">
        <v>473</v>
      </c>
      <c r="F57" s="132" t="s">
        <v>3</v>
      </c>
      <c r="G57" s="155">
        <v>1900</v>
      </c>
      <c r="H57" s="132" t="s">
        <v>395</v>
      </c>
      <c r="I57" s="132" t="s">
        <v>418</v>
      </c>
      <c r="J57" s="134">
        <v>244026</v>
      </c>
      <c r="K57" s="135" t="s">
        <v>419</v>
      </c>
      <c r="L57" s="132" t="s">
        <v>395</v>
      </c>
    </row>
    <row r="58" spans="2:12" ht="56">
      <c r="B58" s="132"/>
      <c r="C58" s="103" t="s">
        <v>472</v>
      </c>
      <c r="D58" s="132"/>
      <c r="E58" s="132"/>
      <c r="F58" s="132"/>
      <c r="G58" s="155"/>
      <c r="H58" s="132"/>
      <c r="I58" s="132"/>
      <c r="J58" s="134"/>
      <c r="K58" s="135"/>
      <c r="L58" s="132"/>
    </row>
    <row r="59" spans="2:12">
      <c r="B59" s="132">
        <v>2</v>
      </c>
      <c r="C59" s="103" t="s">
        <v>274</v>
      </c>
      <c r="D59" s="132" t="s">
        <v>291</v>
      </c>
      <c r="E59" s="132" t="s">
        <v>474</v>
      </c>
      <c r="F59" s="132" t="s">
        <v>3</v>
      </c>
      <c r="G59" s="155">
        <v>1900</v>
      </c>
      <c r="H59" s="132" t="s">
        <v>395</v>
      </c>
      <c r="I59" s="132" t="s">
        <v>418</v>
      </c>
      <c r="J59" s="134">
        <v>244026</v>
      </c>
      <c r="K59" s="135" t="s">
        <v>419</v>
      </c>
      <c r="L59" s="132" t="s">
        <v>395</v>
      </c>
    </row>
    <row r="60" spans="2:12" ht="56">
      <c r="B60" s="132"/>
      <c r="C60" s="103" t="s">
        <v>472</v>
      </c>
      <c r="D60" s="132"/>
      <c r="E60" s="132"/>
      <c r="F60" s="132"/>
      <c r="G60" s="155"/>
      <c r="H60" s="132"/>
      <c r="I60" s="132"/>
      <c r="J60" s="134"/>
      <c r="K60" s="135"/>
      <c r="L60" s="132"/>
    </row>
  </sheetData>
  <mergeCells count="360">
    <mergeCell ref="B2:L2"/>
    <mergeCell ref="B3:B4"/>
    <mergeCell ref="C3:C4"/>
    <mergeCell ref="D3:D4"/>
    <mergeCell ref="E3:E4"/>
    <mergeCell ref="F3:F4"/>
    <mergeCell ref="G3:G4"/>
    <mergeCell ref="H3:H4"/>
    <mergeCell ref="K3:K4"/>
    <mergeCell ref="L3:L4"/>
    <mergeCell ref="I5:I6"/>
    <mergeCell ref="J5:J6"/>
    <mergeCell ref="K5:K6"/>
    <mergeCell ref="L5:L6"/>
    <mergeCell ref="B7:B8"/>
    <mergeCell ref="D7:D8"/>
    <mergeCell ref="E7:E8"/>
    <mergeCell ref="F7:F8"/>
    <mergeCell ref="G7:G8"/>
    <mergeCell ref="H7:H8"/>
    <mergeCell ref="B5:B6"/>
    <mergeCell ref="D5:D6"/>
    <mergeCell ref="E5:E6"/>
    <mergeCell ref="F5:F6"/>
    <mergeCell ref="G5:G6"/>
    <mergeCell ref="H5:H6"/>
    <mergeCell ref="I7:I8"/>
    <mergeCell ref="J7:J8"/>
    <mergeCell ref="K7:K8"/>
    <mergeCell ref="L7:L8"/>
    <mergeCell ref="L9:L10"/>
    <mergeCell ref="B11:B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B9:B10"/>
    <mergeCell ref="D9:D10"/>
    <mergeCell ref="E9:E10"/>
    <mergeCell ref="F9:F10"/>
    <mergeCell ref="G9:G10"/>
    <mergeCell ref="H9:H10"/>
    <mergeCell ref="I9:I10"/>
    <mergeCell ref="J9:J10"/>
    <mergeCell ref="K9:K10"/>
    <mergeCell ref="L13:L14"/>
    <mergeCell ref="B15:B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B13:B14"/>
    <mergeCell ref="D13:D14"/>
    <mergeCell ref="E13:E14"/>
    <mergeCell ref="F13:F14"/>
    <mergeCell ref="G13:G14"/>
    <mergeCell ref="H13:H14"/>
    <mergeCell ref="I13:I14"/>
    <mergeCell ref="J13:J14"/>
    <mergeCell ref="K13:K14"/>
    <mergeCell ref="B17:B18"/>
    <mergeCell ref="D17:D18"/>
    <mergeCell ref="E17:E18"/>
    <mergeCell ref="F17:F18"/>
    <mergeCell ref="G17:G18"/>
    <mergeCell ref="H17:H18"/>
    <mergeCell ref="L19:L20"/>
    <mergeCell ref="B46:L46"/>
    <mergeCell ref="B47:B48"/>
    <mergeCell ref="C47:C48"/>
    <mergeCell ref="D47:D48"/>
    <mergeCell ref="E47:E48"/>
    <mergeCell ref="F47:F48"/>
    <mergeCell ref="I17:I18"/>
    <mergeCell ref="J17:J18"/>
    <mergeCell ref="K17:K18"/>
    <mergeCell ref="L17:L18"/>
    <mergeCell ref="B19:B20"/>
    <mergeCell ref="D19:D20"/>
    <mergeCell ref="E19:E20"/>
    <mergeCell ref="F19:F20"/>
    <mergeCell ref="G19:G20"/>
    <mergeCell ref="H19:H20"/>
    <mergeCell ref="G41:G42"/>
    <mergeCell ref="I19:I20"/>
    <mergeCell ref="J19:J20"/>
    <mergeCell ref="K19:K20"/>
    <mergeCell ref="B27:B28"/>
    <mergeCell ref="D27:D28"/>
    <mergeCell ref="E27:E28"/>
    <mergeCell ref="F27:F28"/>
    <mergeCell ref="G27:G28"/>
    <mergeCell ref="H27:H28"/>
    <mergeCell ref="G23:G24"/>
    <mergeCell ref="H23:H24"/>
    <mergeCell ref="K23:K24"/>
    <mergeCell ref="B25:B26"/>
    <mergeCell ref="D25:D26"/>
    <mergeCell ref="E25:E26"/>
    <mergeCell ref="F25:F26"/>
    <mergeCell ref="G25:G26"/>
    <mergeCell ref="H25:H26"/>
    <mergeCell ref="I25:I26"/>
    <mergeCell ref="J25:J26"/>
    <mergeCell ref="K25:K26"/>
    <mergeCell ref="H51:H52"/>
    <mergeCell ref="G47:G48"/>
    <mergeCell ref="H47:H48"/>
    <mergeCell ref="K47:K48"/>
    <mergeCell ref="L47:L48"/>
    <mergeCell ref="B49:B50"/>
    <mergeCell ref="D49:D50"/>
    <mergeCell ref="E49:E50"/>
    <mergeCell ref="F49:F50"/>
    <mergeCell ref="G49:G50"/>
    <mergeCell ref="H49:H50"/>
    <mergeCell ref="E51:E52"/>
    <mergeCell ref="F51:F52"/>
    <mergeCell ref="G51:G52"/>
    <mergeCell ref="B39:B40"/>
    <mergeCell ref="D39:D40"/>
    <mergeCell ref="E39:E40"/>
    <mergeCell ref="F39:F40"/>
    <mergeCell ref="G39:G40"/>
    <mergeCell ref="H39:H40"/>
    <mergeCell ref="B35:B36"/>
    <mergeCell ref="D35:D36"/>
    <mergeCell ref="E35:E36"/>
    <mergeCell ref="F35:F36"/>
    <mergeCell ref="G35:G36"/>
    <mergeCell ref="H35:H36"/>
    <mergeCell ref="B37:B38"/>
    <mergeCell ref="D37:D38"/>
    <mergeCell ref="E37:E38"/>
    <mergeCell ref="F37:F38"/>
    <mergeCell ref="G37:G38"/>
    <mergeCell ref="H37:H38"/>
    <mergeCell ref="N2:X2"/>
    <mergeCell ref="N3:N4"/>
    <mergeCell ref="O3:O4"/>
    <mergeCell ref="P3:P4"/>
    <mergeCell ref="Q3:Q4"/>
    <mergeCell ref="R3:R4"/>
    <mergeCell ref="I41:I42"/>
    <mergeCell ref="J41:J42"/>
    <mergeCell ref="K41:K42"/>
    <mergeCell ref="L41:L42"/>
    <mergeCell ref="I39:I40"/>
    <mergeCell ref="J39:J40"/>
    <mergeCell ref="K39:K40"/>
    <mergeCell ref="L39:L40"/>
    <mergeCell ref="K33:K34"/>
    <mergeCell ref="L33:L34"/>
    <mergeCell ref="I29:I30"/>
    <mergeCell ref="J29:J30"/>
    <mergeCell ref="K29:K30"/>
    <mergeCell ref="L29:L30"/>
    <mergeCell ref="B32:L32"/>
    <mergeCell ref="B33:B34"/>
    <mergeCell ref="C33:C34"/>
    <mergeCell ref="D33:D34"/>
    <mergeCell ref="S3:S4"/>
    <mergeCell ref="T3:T4"/>
    <mergeCell ref="W3:W4"/>
    <mergeCell ref="X3:X4"/>
    <mergeCell ref="N5:N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X7:X8"/>
    <mergeCell ref="N9:N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N7:N8"/>
    <mergeCell ref="P7:P8"/>
    <mergeCell ref="Q7:Q8"/>
    <mergeCell ref="R7:R8"/>
    <mergeCell ref="S7:S8"/>
    <mergeCell ref="T7:T8"/>
    <mergeCell ref="U7:U8"/>
    <mergeCell ref="V7:V8"/>
    <mergeCell ref="W7:W8"/>
    <mergeCell ref="X11:X12"/>
    <mergeCell ref="N13:N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N11:N12"/>
    <mergeCell ref="P11:P12"/>
    <mergeCell ref="Q11:Q12"/>
    <mergeCell ref="R11:R12"/>
    <mergeCell ref="S11:S12"/>
    <mergeCell ref="T11:T12"/>
    <mergeCell ref="U11:U12"/>
    <mergeCell ref="V11:V12"/>
    <mergeCell ref="W11:W12"/>
    <mergeCell ref="X15:X16"/>
    <mergeCell ref="N17:N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N15:N16"/>
    <mergeCell ref="P15:P16"/>
    <mergeCell ref="Q15:Q16"/>
    <mergeCell ref="R15:R16"/>
    <mergeCell ref="S15:S16"/>
    <mergeCell ref="T15:T16"/>
    <mergeCell ref="U15:U16"/>
    <mergeCell ref="V15:V16"/>
    <mergeCell ref="W15:W16"/>
    <mergeCell ref="N19:N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B54:L54"/>
    <mergeCell ref="B55:B56"/>
    <mergeCell ref="C55:C56"/>
    <mergeCell ref="D55:D56"/>
    <mergeCell ref="E55:E56"/>
    <mergeCell ref="F55:F56"/>
    <mergeCell ref="I43:I44"/>
    <mergeCell ref="J43:J44"/>
    <mergeCell ref="K43:K44"/>
    <mergeCell ref="L43:L44"/>
    <mergeCell ref="B43:B44"/>
    <mergeCell ref="D43:D44"/>
    <mergeCell ref="E43:E44"/>
    <mergeCell ref="F43:F44"/>
    <mergeCell ref="G43:G44"/>
    <mergeCell ref="H43:H44"/>
    <mergeCell ref="B41:B42"/>
    <mergeCell ref="D41:D42"/>
    <mergeCell ref="E41:E42"/>
    <mergeCell ref="F41:F42"/>
    <mergeCell ref="X22:X23"/>
    <mergeCell ref="N24:N25"/>
    <mergeCell ref="P24:P25"/>
    <mergeCell ref="W22:W23"/>
    <mergeCell ref="B59:B60"/>
    <mergeCell ref="D59:D60"/>
    <mergeCell ref="E59:E60"/>
    <mergeCell ref="F59:F60"/>
    <mergeCell ref="G59:G60"/>
    <mergeCell ref="H59:H60"/>
    <mergeCell ref="G55:G56"/>
    <mergeCell ref="H55:H56"/>
    <mergeCell ref="K55:K56"/>
    <mergeCell ref="B57:B58"/>
    <mergeCell ref="D57:D58"/>
    <mergeCell ref="E57:E58"/>
    <mergeCell ref="F57:F58"/>
    <mergeCell ref="G57:G58"/>
    <mergeCell ref="H57:H58"/>
    <mergeCell ref="I59:I60"/>
    <mergeCell ref="I57:I58"/>
    <mergeCell ref="J57:J58"/>
    <mergeCell ref="K57:K58"/>
    <mergeCell ref="H41:H42"/>
    <mergeCell ref="I35:I36"/>
    <mergeCell ref="J35:J36"/>
    <mergeCell ref="K35:K36"/>
    <mergeCell ref="V24:V25"/>
    <mergeCell ref="W24:W25"/>
    <mergeCell ref="X24:X25"/>
    <mergeCell ref="L57:L58"/>
    <mergeCell ref="L55:L56"/>
    <mergeCell ref="I27:I28"/>
    <mergeCell ref="J27:J28"/>
    <mergeCell ref="K27:K28"/>
    <mergeCell ref="L27:L28"/>
    <mergeCell ref="I51:I52"/>
    <mergeCell ref="J51:J52"/>
    <mergeCell ref="K51:K52"/>
    <mergeCell ref="L51:L52"/>
    <mergeCell ref="I49:I50"/>
    <mergeCell ref="J49:J50"/>
    <mergeCell ref="K49:K50"/>
    <mergeCell ref="L49:L50"/>
    <mergeCell ref="J37:J38"/>
    <mergeCell ref="K37:K38"/>
    <mergeCell ref="L37:L38"/>
    <mergeCell ref="L25:L26"/>
    <mergeCell ref="Q24:Q25"/>
    <mergeCell ref="R24:R25"/>
    <mergeCell ref="S24:S25"/>
    <mergeCell ref="B29:B30"/>
    <mergeCell ref="D29:D30"/>
    <mergeCell ref="E29:E30"/>
    <mergeCell ref="F29:F30"/>
    <mergeCell ref="G29:G30"/>
    <mergeCell ref="H29:H30"/>
    <mergeCell ref="U24:U25"/>
    <mergeCell ref="L59:L60"/>
    <mergeCell ref="N21:X21"/>
    <mergeCell ref="N22:N23"/>
    <mergeCell ref="O22:O23"/>
    <mergeCell ref="P22:P23"/>
    <mergeCell ref="Q22:Q23"/>
    <mergeCell ref="R22:R23"/>
    <mergeCell ref="J59:J60"/>
    <mergeCell ref="K59:K60"/>
    <mergeCell ref="B22:L22"/>
    <mergeCell ref="B23:B24"/>
    <mergeCell ref="C23:C24"/>
    <mergeCell ref="D23:D24"/>
    <mergeCell ref="E23:E24"/>
    <mergeCell ref="F23:F24"/>
    <mergeCell ref="B51:B52"/>
    <mergeCell ref="D51:D52"/>
    <mergeCell ref="T24:T25"/>
    <mergeCell ref="I37:I38"/>
    <mergeCell ref="G33:G34"/>
    <mergeCell ref="H33:H34"/>
    <mergeCell ref="E33:E34"/>
    <mergeCell ref="F33:F34"/>
    <mergeCell ref="L23:L24"/>
    <mergeCell ref="S22:S23"/>
    <mergeCell ref="T22:T23"/>
    <mergeCell ref="L35:L36"/>
  </mergeCells>
  <hyperlinks>
    <hyperlink ref="K5" r:id="rId1" tooltip="http://ecar.egat.co.th/./medias/REGISTRATION_BOOK/bb1624f04db1b3b1d2aff9fd05dd7738.pdf" display="http://ecar.egat.co.th/medias/REGISTRATION_BOOK/bb1624f04db1b3b1d2aff9fd05dd7738.pdf" xr:uid="{E57D072F-F9F1-4096-BB80-EE0B224D54E0}"/>
    <hyperlink ref="K7" r:id="rId2" tooltip="http://ecar.egat.co.th/./medias/REGISTRATION_BOOK/8f41ce6f24f82e76b8ab596cc227747a.pdf" display="http://ecar.egat.co.th/medias/REGISTRATION_BOOK/8f41ce6f24f82e76b8ab596cc227747a.pdf" xr:uid="{FECA5FE6-F3A0-4603-AD2A-BE9AA25D5D1C}"/>
    <hyperlink ref="K9" r:id="rId3" tooltip="http://ecar.egat.co.th/./medias/REGISTRATION_BOOK/5096e60feb4b72300033204b13205922.pdf" display="http://ecar.egat.co.th/medias/REGISTRATION_BOOK/5096e60feb4b72300033204b13205922.pdf" xr:uid="{24C253B9-0CC1-4B59-BCD0-9793744AF12F}"/>
    <hyperlink ref="K11" r:id="rId4" tooltip="http://ecar.egat.co.th/./medias/REGISTRATION_BOOK/9692c2c82093a1409b0f63eb60bb2efe.pdf" display="http://ecar.egat.co.th/medias/REGISTRATION_BOOK/9692c2c82093a1409b0f63eb60bb2efe.pdf" xr:uid="{017D9EAB-EE4A-42A3-B072-0C8787DA20A6}"/>
    <hyperlink ref="K13" r:id="rId5" tooltip="http://ecar.egat.co.th/./medias/REGISTRATION_BOOK/76374fcbbe1b9153ff5df858621a9976.pdf" display="http://ecar.egat.co.th/medias/REGISTRATION_BOOK/76374fcbbe1b9153ff5df858621a9976.pdf" xr:uid="{62DABCC9-4404-49A3-AF94-5F429B69C34A}"/>
    <hyperlink ref="K15" r:id="rId6" tooltip="http://ecar.egat.co.th/./medias/REGISTRATION_BOOK/2d5d9e44ec65923c1851616b253f3c63.pdf" display="http://ecar.egat.co.th/medias/REGISTRATION_BOOK/2d5d9e44ec65923c1851616b253f3c63.pdf" xr:uid="{DC2F72C4-C15F-40E8-ABF5-C6E9D5802B47}"/>
    <hyperlink ref="K17" r:id="rId7" tooltip="http://ecar.egat.co.th/./medias/REGISTRATION_BOOK/74f8e718b0425996d101bdee18e347b0.pdf" display="http://ecar.egat.co.th/medias/REGISTRATION_BOOK/74f8e718b0425996d101bdee18e347b0.pdf" xr:uid="{F2204B9A-4C51-4ABB-AA7D-007CD1C034A0}"/>
    <hyperlink ref="K19" r:id="rId8" tooltip="http://ecar.egat.co.th/./medias/REGISTRATION_BOOK/864c4d728ea78b1fd093978f6d150ebd.pdf" display="http://ecar.egat.co.th/medias/REGISTRATION_BOOK/864c4d728ea78b1fd093978f6d150ebd.pdf" xr:uid="{726CB686-CAC0-493A-983F-54C0DA372EB6}"/>
    <hyperlink ref="K49" r:id="rId9" tooltip="http://ecar.egat.co.th/./medias/REGISTRATION_BOOK/5dc07908f953c889ad61b7cf6fd55ae5.pdf" display="http://ecar.egat.co.th/medias/REGISTRATION_BOOK/5dc07908f953c889ad61b7cf6fd55ae5.pdf" xr:uid="{431B1E36-CA0E-4A85-8F21-731678F5C4D5}"/>
    <hyperlink ref="K51" r:id="rId10" tooltip="http://ecar.egat.co.th/./medias/REGISTRATION_BOOK/9d89d20ab7a09322bbf1bc13055ab202.pdf" display="http://ecar.egat.co.th/medias/REGISTRATION_BOOK/9d89d20ab7a09322bbf1bc13055ab202.pdf" xr:uid="{C8114D90-FBB6-4ACF-B8BE-57E618DEC6F4}"/>
    <hyperlink ref="K25" r:id="rId11" tooltip="http://ecar.egat.co.th/./medias/REGISTRATION_BOOK/8e93efe5ce8612ac290a9719c17679b9.pdf" display="http://ecar.egat.co.th/medias/REGISTRATION_BOOK/8e93efe5ce8612ac290a9719c17679b9.pdf" xr:uid="{FA37D52E-9B0E-4709-9EEB-5B87DF6B89E4}"/>
    <hyperlink ref="K27" r:id="rId12" tooltip="http://ecar.egat.co.th/./medias/REGISTRATION_BOOK/2df97b60aa58301fd2165a2c8148e9f9.pdf" display="http://ecar.egat.co.th/medias/REGISTRATION_BOOK/2df97b60aa58301fd2165a2c8148e9f9.pdf" xr:uid="{CDD08CB7-872F-4177-8CDA-D2095C2FACF2}"/>
    <hyperlink ref="K29" r:id="rId13" tooltip="http://ecar.egat.co.th/./medias/REGISTRATION_BOOK/97315c0be44eedc8a2765c01385e1952.pdf" display="http://ecar.egat.co.th/medias/REGISTRATION_BOOK/97315c0be44eedc8a2765c01385e1952.pdf" xr:uid="{2010ADFF-3404-47E1-B428-BC613051A506}"/>
    <hyperlink ref="K35" r:id="rId14" tooltip="http://ecar.egat.co.th/medias/REGISTRATION_BOOK/64a8f88ca91f6e4f3fddc2edaf58e3c1.pdf" display="http://ecar.egat.co.th/medias/REGISTRATION_BOOK/64a8f88ca91f6e4f3fddc2edaf58e3c1.pdf" xr:uid="{D8141A94-3B34-45F0-859B-E0E3AE0750BA}"/>
    <hyperlink ref="K39" r:id="rId15" tooltip="http://ecar.egat.co.th/medias/REGISTRATION_BOOK/b391f8923864c3a1e3a8039d021260d6.pdf" display="http://ecar.egat.co.th/medias/REGISTRATION_BOOK/b391f8923864c3a1e3a8039d021260d6.pdf" xr:uid="{1CF71F9C-5A34-461B-AF13-2AEBC8A5AAB9}"/>
    <hyperlink ref="K41" r:id="rId16" tooltip="http://ecar.egat.co.th/medias/REGISTRATION_BOOK/48e180c2981e865769d43ba875b93196.pdf" display="http://ecar.egat.co.th/medias/REGISTRATION_BOOK/48e180c2981e865769d43ba875b93196.pdf" xr:uid="{BD50364E-4FE1-4EA5-A90C-260E3C08DD37}"/>
    <hyperlink ref="K43" r:id="rId17" tooltip="http://ecar.egat.co.th/medias/REGISTRATION_BOOK/88a1e2d8ede0cdb2e7363c69e5a3c301.pdf" display="http://ecar.egat.co.th/medias/REGISTRATION_BOOK/88a1e2d8ede0cdb2e7363c69e5a3c301.pdf" xr:uid="{C6BE2967-6AD6-4146-A4D1-84DC4CDC4879}"/>
    <hyperlink ref="W5" r:id="rId18" tooltip="http://ecar.egat.co.th/./medias/REGISTRATION_BOOK/69fafd347b0cd19cfa1069e394849894.pdf" display="http://ecar.egat.co.th/medias/REGISTRATION_BOOK/69fafd347b0cd19cfa1069e394849894.pdf" xr:uid="{C65FFEEE-98CD-4822-A1E1-9488681E3951}"/>
    <hyperlink ref="W7" r:id="rId19" tooltip="http://ecar.egat.co.th/./medias/REGISTRATION_BOOK/d4706564f632cedabd416c17b07b1ac7.pdf" display="http://ecar.egat.co.th/medias/REGISTRATION_BOOK/d4706564f632cedabd416c17b07b1ac7.pdf" xr:uid="{C936DE5E-419F-4858-BC91-35DD3A6CCC20}"/>
    <hyperlink ref="W9" r:id="rId20" tooltip="http://ecar.egat.co.th/./medias/REGISTRATION_BOOK/cf2fdca402d6dd5fc6838bea6ada9189.pdf" display="http://ecar.egat.co.th/medias/REGISTRATION_BOOK/cf2fdca402d6dd5fc6838bea6ada9189.pdf" xr:uid="{EC0E58B2-DE7B-4D55-9CBD-C7B9B094C8B4}"/>
    <hyperlink ref="W11" r:id="rId21" tooltip="http://ecar.egat.co.th/./medias/REGISTRATION_BOOK/1ff7dc27d8ee5a4107461cdc26582ffd.pdf" display="http://ecar.egat.co.th/medias/REGISTRATION_BOOK/1ff7dc27d8ee5a4107461cdc26582ffd.pdf" xr:uid="{AB30A4CB-3FCE-4D67-8E5D-81D953A24F27}"/>
    <hyperlink ref="W13" r:id="rId22" tooltip="http://ecar.egat.co.th/./medias/REGISTRATION_BOOK/120c32c4507dd5ce14260399c62f7118.pdf" display="http://ecar.egat.co.th/medias/REGISTRATION_BOOK/120c32c4507dd5ce14260399c62f7118.pdf" xr:uid="{81C531A4-F41F-4D0D-B58E-BEFE2AE73FF2}"/>
    <hyperlink ref="W15" r:id="rId23" tooltip="http://ecar.egat.co.th/./medias/REGISTRATION_BOOK/2df390985994065745e18f70f5b78542.pdf" display="http://ecar.egat.co.th/medias/REGISTRATION_BOOK/2df390985994065745e18f70f5b78542.pdf" xr:uid="{8CE84CDA-0136-4D86-80CC-0A97D980EA67}"/>
    <hyperlink ref="W17" r:id="rId24" tooltip="http://ecar.egat.co.th/./medias/REGISTRATION_BOOK/61bf49c5c8d94edadcd1066f55d2d003.pdf" display="http://ecar.egat.co.th/medias/REGISTRATION_BOOK/61bf49c5c8d94edadcd1066f55d2d003.pdf" xr:uid="{26AA44ED-9DBA-4389-BEF3-09B3ADA59FA6}"/>
    <hyperlink ref="W19" r:id="rId25" tooltip="http://ecar.egat.co.th/./medias/REGISTRATION_BOOK/9b5f63287699ca481e0586be5e570731.pdf" display="http://ecar.egat.co.th/medias/REGISTRATION_BOOK/9b5f63287699ca481e0586be5e570731.pdf" xr:uid="{01BC98B7-B8A1-4C15-83FF-A9210C81994E}"/>
    <hyperlink ref="K57" r:id="rId26" tooltip="http://ecar.egat.co.th/./medias/REGISTRATION_BOOK/1fd5e6ffdc52c3dd8de87463615e9050.pdf" display="http://ecar.egat.co.th/medias/REGISTRATION_BOOK/1fd5e6ffdc52c3dd8de87463615e9050.pdf" xr:uid="{1DCBD90D-7C12-4D0A-897F-F09A544B02D3}"/>
    <hyperlink ref="K59" r:id="rId27" tooltip="http://ecar.egat.co.th/./medias/REGISTRATION_BOOK/00ff00cb44877832071a1c169b26daaf.pdf" display="http://ecar.egat.co.th/medias/REGISTRATION_BOOK/00ff00cb44877832071a1c169b26daaf.pdf" xr:uid="{BBF0534E-AA1A-41A5-8333-5CBA8DAA23EF}"/>
    <hyperlink ref="W24" r:id="rId28" tooltip="http://ecar.egat.co.th/./medias/REGISTRATION_BOOK/70af84dd98d6ff9feaffb9c9ab811220.pdf" display="http://ecar.egat.co.th/medias/REGISTRATION_BOOK/70af84dd98d6ff9feaffb9c9ab811220.pdf" xr:uid="{F0F4435D-5D25-4DD9-9A2D-4AD795434327}"/>
    <hyperlink ref="K37" r:id="rId29" tooltip="http://ecar.egat.co.th/./medias/REGISTRATION_BOOK/64a8f88ca91f6e4f3fddc2edaf58e3c1.pdf" display="http://ecar.egat.co.th/medias/REGISTRATION_BOOK/64a8f88ca91f6e4f3fddc2edaf58e3c1.pdf" xr:uid="{7589F160-9FB6-48DF-8F74-D4F973DEAF33}"/>
  </hyperlinks>
  <pageMargins left="0.7" right="0.7" top="0.75" bottom="0.75" header="0.3" footer="0.3"/>
  <pageSetup paperSize="9" orientation="portrait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813C-ED48-409E-AF60-15148F9CEA91}">
  <sheetPr>
    <pageSetUpPr fitToPage="1"/>
  </sheetPr>
  <dimension ref="A1:X86"/>
  <sheetViews>
    <sheetView view="pageBreakPreview" zoomScaleNormal="100" zoomScaleSheetLayoutView="100" workbookViewId="0">
      <pane ySplit="3" topLeftCell="A22" activePane="bottomLeft" state="frozen"/>
      <selection pane="bottomLeft" activeCell="A2" sqref="A2"/>
    </sheetView>
  </sheetViews>
  <sheetFormatPr defaultColWidth="8.90625" defaultRowHeight="24"/>
  <cols>
    <col min="1" max="1" width="7.6328125" style="2" bestFit="1" customWidth="1"/>
    <col min="2" max="2" width="38.54296875" style="2" customWidth="1"/>
    <col min="3" max="3" width="14.453125" style="2" customWidth="1"/>
    <col min="4" max="4" width="18.36328125" style="2" customWidth="1"/>
    <col min="5" max="5" width="40.54296875" style="2" customWidth="1"/>
    <col min="6" max="8" width="17.453125" style="2" customWidth="1"/>
    <col min="9" max="9" width="17.453125" style="1" customWidth="1"/>
    <col min="10" max="11" width="17.453125" style="2" customWidth="1"/>
    <col min="12" max="12" width="20.36328125" style="2" bestFit="1" customWidth="1"/>
    <col min="13" max="13" width="8.90625" style="2"/>
    <col min="14" max="17" width="23.08984375" style="2" customWidth="1"/>
    <col min="18" max="16384" width="8.90625" style="2"/>
  </cols>
  <sheetData>
    <row r="1" spans="1:11">
      <c r="A1" s="80" t="s">
        <v>4</v>
      </c>
      <c r="B1" s="80"/>
      <c r="C1" s="80"/>
      <c r="E1" s="80"/>
      <c r="F1" s="80"/>
      <c r="G1" s="80"/>
      <c r="H1" s="80"/>
    </row>
    <row r="2" spans="1:11">
      <c r="A2" s="78" t="s">
        <v>5</v>
      </c>
      <c r="B2" s="79" t="s">
        <v>6</v>
      </c>
      <c r="C2" s="78" t="s">
        <v>7</v>
      </c>
      <c r="D2" s="45" t="s">
        <v>217</v>
      </c>
      <c r="E2" s="78" t="s">
        <v>8</v>
      </c>
      <c r="F2" s="78" t="s">
        <v>9</v>
      </c>
      <c r="G2" s="78"/>
      <c r="H2" s="78"/>
      <c r="I2" s="122" t="s">
        <v>10</v>
      </c>
    </row>
    <row r="3" spans="1:11">
      <c r="A3" s="78"/>
      <c r="B3" s="79"/>
      <c r="C3" s="78"/>
      <c r="D3" s="1"/>
      <c r="E3" s="78"/>
      <c r="F3" s="78" t="s">
        <v>397</v>
      </c>
      <c r="G3" s="78" t="s">
        <v>398</v>
      </c>
      <c r="H3" s="77">
        <v>244593</v>
      </c>
      <c r="I3" s="122"/>
      <c r="K3" s="1"/>
    </row>
    <row r="4" spans="1:11">
      <c r="A4" s="86" t="s">
        <v>11</v>
      </c>
      <c r="B4" s="81"/>
      <c r="C4" s="81"/>
      <c r="D4" s="81"/>
      <c r="E4" s="81"/>
      <c r="F4" s="81"/>
      <c r="G4" s="82"/>
      <c r="H4" s="82"/>
      <c r="I4" s="4"/>
    </row>
    <row r="5" spans="1:11">
      <c r="A5" s="6">
        <v>1</v>
      </c>
      <c r="B5" s="7" t="s">
        <v>12</v>
      </c>
      <c r="C5" s="8" t="s">
        <v>13</v>
      </c>
      <c r="D5" s="4" t="s">
        <v>16</v>
      </c>
      <c r="E5" s="9" t="s">
        <v>14</v>
      </c>
      <c r="F5" s="10" t="s">
        <v>15</v>
      </c>
      <c r="G5" s="66" t="s">
        <v>57</v>
      </c>
      <c r="H5" s="72" t="s">
        <v>396</v>
      </c>
      <c r="I5" s="5"/>
      <c r="K5" s="5" t="s">
        <v>17</v>
      </c>
    </row>
    <row r="6" spans="1:11">
      <c r="A6" s="6">
        <v>2</v>
      </c>
      <c r="B6" s="11" t="s">
        <v>18</v>
      </c>
      <c r="C6" s="12" t="s">
        <v>19</v>
      </c>
      <c r="D6" s="4" t="s">
        <v>21</v>
      </c>
      <c r="E6" s="13" t="s">
        <v>20</v>
      </c>
      <c r="F6" s="73" t="s">
        <v>2</v>
      </c>
      <c r="G6" s="66" t="s">
        <v>57</v>
      </c>
      <c r="H6" s="10" t="s">
        <v>15</v>
      </c>
      <c r="I6" s="5"/>
      <c r="K6" s="5" t="s">
        <v>22</v>
      </c>
    </row>
    <row r="7" spans="1:11">
      <c r="A7" s="6">
        <v>3</v>
      </c>
      <c r="B7" s="11" t="s">
        <v>18</v>
      </c>
      <c r="C7" s="12" t="s">
        <v>23</v>
      </c>
      <c r="D7" s="4" t="s">
        <v>25</v>
      </c>
      <c r="E7" s="13" t="s">
        <v>20</v>
      </c>
      <c r="F7" s="10" t="s">
        <v>24</v>
      </c>
      <c r="G7" s="10" t="s">
        <v>24</v>
      </c>
      <c r="H7" s="10" t="s">
        <v>24</v>
      </c>
      <c r="I7" s="5"/>
      <c r="K7" s="14" t="s">
        <v>26</v>
      </c>
    </row>
    <row r="8" spans="1:11">
      <c r="A8" s="6">
        <v>4</v>
      </c>
      <c r="B8" s="11" t="s">
        <v>27</v>
      </c>
      <c r="C8" s="12" t="s">
        <v>28</v>
      </c>
      <c r="D8" s="4" t="s">
        <v>31</v>
      </c>
      <c r="E8" s="13" t="s">
        <v>29</v>
      </c>
      <c r="F8" s="15" t="s">
        <v>30</v>
      </c>
      <c r="G8" s="15" t="s">
        <v>30</v>
      </c>
      <c r="H8" s="15" t="s">
        <v>30</v>
      </c>
      <c r="I8" s="5"/>
      <c r="K8" s="5" t="s">
        <v>32</v>
      </c>
    </row>
    <row r="9" spans="1:11">
      <c r="A9" s="6">
        <v>5</v>
      </c>
      <c r="B9" s="11" t="s">
        <v>33</v>
      </c>
      <c r="C9" s="12" t="s">
        <v>34</v>
      </c>
      <c r="D9" s="4" t="s">
        <v>35</v>
      </c>
      <c r="E9" s="13" t="s">
        <v>14</v>
      </c>
      <c r="F9" s="15" t="s">
        <v>30</v>
      </c>
      <c r="G9" s="15" t="s">
        <v>30</v>
      </c>
      <c r="H9" s="15" t="s">
        <v>30</v>
      </c>
      <c r="I9" s="5"/>
      <c r="K9" s="5" t="s">
        <v>32</v>
      </c>
    </row>
    <row r="10" spans="1:11">
      <c r="A10" s="6">
        <v>6</v>
      </c>
      <c r="B10" s="11" t="s">
        <v>36</v>
      </c>
      <c r="C10" s="12" t="s">
        <v>37</v>
      </c>
      <c r="D10" s="4" t="s">
        <v>39</v>
      </c>
      <c r="E10" s="13" t="s">
        <v>38</v>
      </c>
      <c r="F10" s="10" t="s">
        <v>15</v>
      </c>
      <c r="G10" s="40" t="s">
        <v>158</v>
      </c>
      <c r="H10" s="72" t="s">
        <v>396</v>
      </c>
      <c r="I10" s="5"/>
      <c r="K10" s="5" t="s">
        <v>15</v>
      </c>
    </row>
    <row r="11" spans="1:11">
      <c r="A11" s="6">
        <v>7</v>
      </c>
      <c r="B11" s="11" t="s">
        <v>36</v>
      </c>
      <c r="C11" s="12" t="s">
        <v>40</v>
      </c>
      <c r="D11" s="4" t="s">
        <v>41</v>
      </c>
      <c r="E11" s="16" t="s">
        <v>38</v>
      </c>
      <c r="F11" s="73" t="s">
        <v>2</v>
      </c>
      <c r="G11" s="40" t="s">
        <v>158</v>
      </c>
      <c r="H11" s="72" t="s">
        <v>396</v>
      </c>
      <c r="I11" s="5"/>
      <c r="K11" s="5" t="s">
        <v>42</v>
      </c>
    </row>
    <row r="12" spans="1:11">
      <c r="A12" s="6">
        <v>8</v>
      </c>
      <c r="B12" s="7" t="s">
        <v>43</v>
      </c>
      <c r="C12" s="8" t="s">
        <v>44</v>
      </c>
      <c r="D12" s="4" t="s">
        <v>46</v>
      </c>
      <c r="E12" s="16" t="s">
        <v>45</v>
      </c>
      <c r="F12" s="73" t="s">
        <v>2</v>
      </c>
      <c r="G12" s="73" t="s">
        <v>2</v>
      </c>
      <c r="H12" s="73" t="s">
        <v>2</v>
      </c>
      <c r="I12" s="5"/>
      <c r="K12" s="5" t="s">
        <v>47</v>
      </c>
    </row>
    <row r="13" spans="1:11">
      <c r="A13" s="86" t="s">
        <v>11</v>
      </c>
      <c r="B13" s="81"/>
      <c r="C13" s="81"/>
      <c r="D13" s="81"/>
      <c r="E13" s="81"/>
      <c r="F13" s="81"/>
      <c r="G13" s="82"/>
      <c r="H13" s="70"/>
      <c r="I13" s="4"/>
    </row>
    <row r="14" spans="1:11">
      <c r="A14" s="6">
        <v>1</v>
      </c>
      <c r="B14" s="7" t="s">
        <v>48</v>
      </c>
      <c r="C14" s="8" t="s">
        <v>49</v>
      </c>
      <c r="D14" s="48" t="s">
        <v>333</v>
      </c>
      <c r="E14" s="9" t="s">
        <v>50</v>
      </c>
      <c r="F14" s="10" t="s">
        <v>15</v>
      </c>
      <c r="G14" s="10" t="s">
        <v>15</v>
      </c>
      <c r="H14" s="10" t="s">
        <v>15</v>
      </c>
      <c r="I14" s="4"/>
    </row>
    <row r="15" spans="1:11">
      <c r="A15" s="6">
        <v>2</v>
      </c>
      <c r="B15" s="11" t="s">
        <v>51</v>
      </c>
      <c r="C15" s="12" t="s">
        <v>52</v>
      </c>
      <c r="D15" s="4" t="s">
        <v>317</v>
      </c>
      <c r="E15" s="13" t="s">
        <v>53</v>
      </c>
      <c r="F15" s="10" t="s">
        <v>15</v>
      </c>
      <c r="G15" s="10" t="s">
        <v>15</v>
      </c>
      <c r="H15" s="10" t="s">
        <v>15</v>
      </c>
      <c r="I15" s="4"/>
    </row>
    <row r="16" spans="1:11">
      <c r="A16" s="6">
        <v>3</v>
      </c>
      <c r="B16" s="11" t="s">
        <v>54</v>
      </c>
      <c r="C16" s="12" t="s">
        <v>55</v>
      </c>
      <c r="D16" s="4" t="s">
        <v>321</v>
      </c>
      <c r="E16" s="13" t="s">
        <v>56</v>
      </c>
      <c r="F16" s="10" t="s">
        <v>15</v>
      </c>
      <c r="G16" s="66" t="s">
        <v>57</v>
      </c>
      <c r="H16" s="66" t="s">
        <v>57</v>
      </c>
      <c r="I16" s="10"/>
    </row>
    <row r="17" spans="1:24">
      <c r="A17" s="6">
        <v>4</v>
      </c>
      <c r="B17" s="11" t="s">
        <v>54</v>
      </c>
      <c r="C17" s="12" t="s">
        <v>58</v>
      </c>
      <c r="D17" s="4" t="s">
        <v>324</v>
      </c>
      <c r="E17" s="13" t="s">
        <v>59</v>
      </c>
      <c r="F17" s="10" t="s">
        <v>15</v>
      </c>
      <c r="G17" s="10" t="s">
        <v>15</v>
      </c>
      <c r="H17" s="72" t="s">
        <v>396</v>
      </c>
      <c r="I17" s="4"/>
    </row>
    <row r="18" spans="1:24">
      <c r="A18" s="6">
        <v>5</v>
      </c>
      <c r="B18" s="11" t="s">
        <v>54</v>
      </c>
      <c r="C18" s="12" t="s">
        <v>60</v>
      </c>
      <c r="D18" s="48" t="s">
        <v>326</v>
      </c>
      <c r="E18" s="13" t="s">
        <v>59</v>
      </c>
      <c r="F18" s="10" t="s">
        <v>15</v>
      </c>
      <c r="G18" s="10" t="s">
        <v>15</v>
      </c>
      <c r="H18" s="10" t="s">
        <v>15</v>
      </c>
      <c r="I18" s="4"/>
    </row>
    <row r="19" spans="1:24">
      <c r="A19" s="6">
        <v>6</v>
      </c>
      <c r="B19" s="11" t="s">
        <v>61</v>
      </c>
      <c r="C19" s="12" t="s">
        <v>62</v>
      </c>
      <c r="D19" s="48" t="s">
        <v>328</v>
      </c>
      <c r="E19" s="13" t="s">
        <v>59</v>
      </c>
      <c r="F19" s="15" t="s">
        <v>30</v>
      </c>
      <c r="G19" s="15" t="s">
        <v>30</v>
      </c>
      <c r="H19" s="15" t="s">
        <v>30</v>
      </c>
      <c r="I19" s="4"/>
    </row>
    <row r="20" spans="1:24">
      <c r="A20" s="6">
        <v>7</v>
      </c>
      <c r="B20" s="11" t="s">
        <v>61</v>
      </c>
      <c r="C20" s="12" t="s">
        <v>63</v>
      </c>
      <c r="D20" s="48" t="s">
        <v>331</v>
      </c>
      <c r="E20" s="16" t="s">
        <v>59</v>
      </c>
      <c r="F20" s="10" t="s">
        <v>15</v>
      </c>
      <c r="G20" s="66" t="s">
        <v>57</v>
      </c>
      <c r="H20" s="66" t="s">
        <v>57</v>
      </c>
      <c r="I20" s="4"/>
    </row>
    <row r="21" spans="1:24">
      <c r="A21" s="6">
        <v>8</v>
      </c>
      <c r="B21" s="7" t="s">
        <v>64</v>
      </c>
      <c r="C21" s="8" t="s">
        <v>65</v>
      </c>
      <c r="D21" s="48" t="s">
        <v>335</v>
      </c>
      <c r="E21" s="16" t="s">
        <v>66</v>
      </c>
      <c r="F21" s="10" t="s">
        <v>15</v>
      </c>
      <c r="G21" s="10" t="s">
        <v>15</v>
      </c>
      <c r="H21" s="10" t="s">
        <v>15</v>
      </c>
      <c r="I21" s="4"/>
    </row>
    <row r="22" spans="1:24">
      <c r="A22" s="6">
        <v>9</v>
      </c>
      <c r="B22" s="7" t="s">
        <v>64</v>
      </c>
      <c r="C22" s="8" t="s">
        <v>67</v>
      </c>
      <c r="D22" s="48" t="s">
        <v>338</v>
      </c>
      <c r="E22" s="16" t="s">
        <v>68</v>
      </c>
      <c r="F22" s="10" t="s">
        <v>15</v>
      </c>
      <c r="G22" s="10" t="s">
        <v>15</v>
      </c>
      <c r="H22" s="10" t="s">
        <v>15</v>
      </c>
      <c r="I22" s="4"/>
    </row>
    <row r="23" spans="1:24">
      <c r="A23" s="85" t="s">
        <v>69</v>
      </c>
      <c r="B23" s="83"/>
      <c r="C23" s="83"/>
      <c r="D23" s="83"/>
      <c r="E23" s="83"/>
      <c r="F23" s="83"/>
      <c r="G23" s="84"/>
      <c r="H23" s="84"/>
      <c r="I23" s="84"/>
      <c r="Q23" s="4" t="s">
        <v>70</v>
      </c>
      <c r="R23" s="4" t="s">
        <v>71</v>
      </c>
      <c r="S23" s="4" t="s">
        <v>72</v>
      </c>
      <c r="T23" s="4" t="s">
        <v>73</v>
      </c>
      <c r="U23" s="5" t="s">
        <v>74</v>
      </c>
      <c r="V23" s="5" t="s">
        <v>75</v>
      </c>
    </row>
    <row r="24" spans="1:24">
      <c r="A24" s="17">
        <v>1</v>
      </c>
      <c r="B24" s="18" t="s">
        <v>76</v>
      </c>
      <c r="C24" s="19" t="s">
        <v>77</v>
      </c>
      <c r="E24" s="20" t="s">
        <v>78</v>
      </c>
      <c r="F24" s="21" t="s">
        <v>15</v>
      </c>
      <c r="G24" s="21" t="s">
        <v>15</v>
      </c>
      <c r="H24" s="21" t="s">
        <v>15</v>
      </c>
      <c r="I24" s="4"/>
      <c r="O24" s="22" t="s">
        <v>76</v>
      </c>
      <c r="P24" s="23">
        <f t="shared" ref="P24:P41" si="0">COUNTIF(A:G,O24)</f>
        <v>3</v>
      </c>
      <c r="Q24" s="4"/>
      <c r="R24" s="4"/>
      <c r="S24" s="4"/>
      <c r="T24" s="4"/>
      <c r="U24" s="4">
        <f>SUM(Q24:T24)</f>
        <v>0</v>
      </c>
      <c r="V24" s="5">
        <f>P24-U24</f>
        <v>3</v>
      </c>
    </row>
    <row r="25" spans="1:24">
      <c r="A25" s="17">
        <v>2</v>
      </c>
      <c r="B25" s="17" t="s">
        <v>76</v>
      </c>
      <c r="C25" s="24" t="s">
        <v>79</v>
      </c>
      <c r="E25" s="25" t="s">
        <v>80</v>
      </c>
      <c r="F25" s="67" t="s">
        <v>57</v>
      </c>
      <c r="G25" s="40" t="s">
        <v>158</v>
      </c>
      <c r="H25" s="72" t="s">
        <v>396</v>
      </c>
      <c r="I25" s="4" t="s">
        <v>400</v>
      </c>
      <c r="O25" s="26" t="s">
        <v>81</v>
      </c>
      <c r="P25" s="23">
        <f t="shared" si="0"/>
        <v>4</v>
      </c>
      <c r="Q25" s="4"/>
      <c r="R25" s="4"/>
      <c r="S25" s="4"/>
      <c r="T25" s="4"/>
      <c r="U25" s="4">
        <f>SUM(Q25:T25)</f>
        <v>0</v>
      </c>
      <c r="V25" s="5">
        <f>P25-U25</f>
        <v>4</v>
      </c>
    </row>
    <row r="26" spans="1:24">
      <c r="A26" s="17">
        <v>3</v>
      </c>
      <c r="B26" s="27" t="s">
        <v>76</v>
      </c>
      <c r="C26" s="28" t="s">
        <v>82</v>
      </c>
      <c r="D26" s="76" t="s">
        <v>84</v>
      </c>
      <c r="E26" s="29" t="s">
        <v>83</v>
      </c>
      <c r="F26" s="30" t="s">
        <v>30</v>
      </c>
      <c r="G26" s="30" t="s">
        <v>30</v>
      </c>
      <c r="H26" s="30" t="s">
        <v>30</v>
      </c>
      <c r="I26" s="5"/>
      <c r="K26" s="5" t="s">
        <v>85</v>
      </c>
      <c r="O26" s="26" t="s">
        <v>86</v>
      </c>
      <c r="P26" s="23">
        <f t="shared" si="0"/>
        <v>1</v>
      </c>
      <c r="Q26" s="4"/>
      <c r="R26" s="4"/>
      <c r="S26" s="4"/>
      <c r="T26" s="4"/>
      <c r="U26" s="4">
        <f>SUM(Q26:T26)</f>
        <v>0</v>
      </c>
      <c r="V26" s="5">
        <f>P26-U26</f>
        <v>1</v>
      </c>
    </row>
    <row r="27" spans="1:24">
      <c r="A27" s="17">
        <v>4</v>
      </c>
      <c r="B27" s="27" t="s">
        <v>81</v>
      </c>
      <c r="C27" s="28" t="s">
        <v>87</v>
      </c>
      <c r="D27" s="76" t="s">
        <v>84</v>
      </c>
      <c r="E27" s="29" t="s">
        <v>88</v>
      </c>
      <c r="F27" s="30" t="s">
        <v>30</v>
      </c>
      <c r="G27" s="67" t="s">
        <v>57</v>
      </c>
      <c r="H27" s="67" t="s">
        <v>57</v>
      </c>
      <c r="I27" s="5"/>
      <c r="K27" s="31" t="s">
        <v>89</v>
      </c>
      <c r="O27" s="32" t="s">
        <v>90</v>
      </c>
      <c r="P27" s="23">
        <f t="shared" si="0"/>
        <v>11</v>
      </c>
      <c r="Q27" s="4"/>
      <c r="R27" s="4"/>
      <c r="S27" s="4"/>
      <c r="T27" s="4"/>
      <c r="U27" s="4">
        <f t="shared" ref="U27:U41" si="1">SUM(Q27:T27)</f>
        <v>0</v>
      </c>
      <c r="V27" s="5">
        <f t="shared" ref="V27:V41" si="2">P27-U27</f>
        <v>11</v>
      </c>
      <c r="X27" s="33" t="s">
        <v>91</v>
      </c>
    </row>
    <row r="28" spans="1:24">
      <c r="A28" s="17">
        <v>5</v>
      </c>
      <c r="B28" s="27" t="s">
        <v>86</v>
      </c>
      <c r="C28" s="28" t="s">
        <v>92</v>
      </c>
      <c r="E28" s="29" t="s">
        <v>93</v>
      </c>
      <c r="F28" s="21" t="s">
        <v>15</v>
      </c>
      <c r="G28" s="21" t="s">
        <v>15</v>
      </c>
      <c r="H28" s="21" t="s">
        <v>15</v>
      </c>
      <c r="I28" s="4"/>
      <c r="O28" s="32" t="s">
        <v>94</v>
      </c>
      <c r="P28" s="23">
        <f t="shared" si="0"/>
        <v>2</v>
      </c>
      <c r="Q28" s="4"/>
      <c r="R28" s="4"/>
      <c r="S28" s="4"/>
      <c r="T28" s="4"/>
      <c r="U28" s="4">
        <f t="shared" si="1"/>
        <v>0</v>
      </c>
      <c r="V28" s="5">
        <f t="shared" si="2"/>
        <v>2</v>
      </c>
    </row>
    <row r="29" spans="1:24">
      <c r="A29" s="17">
        <v>6</v>
      </c>
      <c r="B29" s="27" t="s">
        <v>81</v>
      </c>
      <c r="C29" s="28" t="s">
        <v>95</v>
      </c>
      <c r="D29" s="76" t="s">
        <v>84</v>
      </c>
      <c r="E29" s="29" t="s">
        <v>96</v>
      </c>
      <c r="F29" s="30" t="s">
        <v>30</v>
      </c>
      <c r="G29" s="30" t="s">
        <v>30</v>
      </c>
      <c r="H29" s="30" t="s">
        <v>30</v>
      </c>
      <c r="I29" s="5"/>
      <c r="K29" s="31" t="s">
        <v>97</v>
      </c>
      <c r="O29" s="32" t="s">
        <v>98</v>
      </c>
      <c r="P29" s="23">
        <f t="shared" si="0"/>
        <v>2</v>
      </c>
      <c r="Q29" s="4"/>
      <c r="R29" s="4"/>
      <c r="S29" s="4"/>
      <c r="T29" s="4"/>
      <c r="U29" s="4">
        <f t="shared" si="1"/>
        <v>0</v>
      </c>
      <c r="V29" s="5">
        <f t="shared" si="2"/>
        <v>2</v>
      </c>
      <c r="X29" s="33" t="s">
        <v>99</v>
      </c>
    </row>
    <row r="30" spans="1:24">
      <c r="A30" s="17">
        <v>7</v>
      </c>
      <c r="B30" s="27" t="s">
        <v>81</v>
      </c>
      <c r="C30" s="28" t="s">
        <v>100</v>
      </c>
      <c r="E30" s="29" t="s">
        <v>101</v>
      </c>
      <c r="F30" s="67" t="s">
        <v>57</v>
      </c>
      <c r="G30" s="40" t="s">
        <v>158</v>
      </c>
      <c r="H30" s="72" t="s">
        <v>396</v>
      </c>
      <c r="I30" s="4" t="s">
        <v>401</v>
      </c>
      <c r="K30" s="5" t="s">
        <v>102</v>
      </c>
      <c r="O30" s="22" t="s">
        <v>103</v>
      </c>
      <c r="P30" s="23">
        <f t="shared" si="0"/>
        <v>1</v>
      </c>
      <c r="Q30" s="4"/>
      <c r="R30" s="4"/>
      <c r="S30" s="4"/>
      <c r="T30" s="4"/>
      <c r="U30" s="4">
        <f t="shared" si="1"/>
        <v>0</v>
      </c>
      <c r="V30" s="5">
        <f t="shared" si="2"/>
        <v>1</v>
      </c>
      <c r="X30" s="2" t="s">
        <v>104</v>
      </c>
    </row>
    <row r="31" spans="1:24">
      <c r="A31" s="17">
        <v>8</v>
      </c>
      <c r="B31" s="27" t="s">
        <v>81</v>
      </c>
      <c r="C31" s="28" t="s">
        <v>105</v>
      </c>
      <c r="E31" s="29" t="s">
        <v>101</v>
      </c>
      <c r="F31" s="30" t="s">
        <v>30</v>
      </c>
      <c r="G31" s="30" t="s">
        <v>30</v>
      </c>
      <c r="H31" s="30" t="s">
        <v>30</v>
      </c>
      <c r="I31" s="4"/>
      <c r="O31" s="32" t="s">
        <v>106</v>
      </c>
      <c r="P31" s="23">
        <f t="shared" si="0"/>
        <v>5</v>
      </c>
      <c r="Q31" s="4"/>
      <c r="R31" s="4"/>
      <c r="S31" s="4"/>
      <c r="T31" s="4"/>
      <c r="U31" s="4">
        <f t="shared" si="1"/>
        <v>0</v>
      </c>
      <c r="V31" s="5">
        <f t="shared" si="2"/>
        <v>5</v>
      </c>
    </row>
    <row r="32" spans="1:24">
      <c r="A32" s="17">
        <v>9</v>
      </c>
      <c r="B32" s="17" t="s">
        <v>90</v>
      </c>
      <c r="C32" s="68" t="s">
        <v>107</v>
      </c>
      <c r="D32" s="48" t="s">
        <v>340</v>
      </c>
      <c r="E32" s="25" t="s">
        <v>108</v>
      </c>
      <c r="F32" s="21" t="s">
        <v>15</v>
      </c>
      <c r="G32" s="21" t="s">
        <v>15</v>
      </c>
      <c r="H32" s="72" t="s">
        <v>396</v>
      </c>
      <c r="I32" s="4"/>
      <c r="O32" s="22" t="s">
        <v>109</v>
      </c>
      <c r="P32" s="23">
        <f t="shared" si="0"/>
        <v>3</v>
      </c>
      <c r="Q32" s="4"/>
      <c r="R32" s="4"/>
      <c r="S32" s="4"/>
      <c r="T32" s="4"/>
      <c r="U32" s="4">
        <f t="shared" si="1"/>
        <v>0</v>
      </c>
      <c r="V32" s="5">
        <f t="shared" si="2"/>
        <v>3</v>
      </c>
      <c r="X32" s="2" t="s">
        <v>110</v>
      </c>
    </row>
    <row r="33" spans="1:24">
      <c r="A33" s="17">
        <v>10</v>
      </c>
      <c r="B33" s="17" t="s">
        <v>90</v>
      </c>
      <c r="C33" s="24" t="s">
        <v>111</v>
      </c>
      <c r="D33" s="48" t="s">
        <v>344</v>
      </c>
      <c r="E33" s="25" t="s">
        <v>108</v>
      </c>
      <c r="F33" s="30" t="s">
        <v>30</v>
      </c>
      <c r="G33" s="30" t="s">
        <v>30</v>
      </c>
      <c r="H33" s="30" t="s">
        <v>30</v>
      </c>
      <c r="I33" s="4"/>
      <c r="O33" s="32" t="s">
        <v>112</v>
      </c>
      <c r="P33" s="23">
        <f t="shared" si="0"/>
        <v>1</v>
      </c>
      <c r="Q33" s="4"/>
      <c r="R33" s="4"/>
      <c r="S33" s="4"/>
      <c r="T33" s="4"/>
      <c r="U33" s="4">
        <f t="shared" si="1"/>
        <v>0</v>
      </c>
      <c r="V33" s="5">
        <f t="shared" si="2"/>
        <v>1</v>
      </c>
      <c r="X33" s="2" t="s">
        <v>110</v>
      </c>
    </row>
    <row r="34" spans="1:24">
      <c r="A34" s="17">
        <v>11</v>
      </c>
      <c r="B34" s="17" t="s">
        <v>90</v>
      </c>
      <c r="C34" s="68" t="s">
        <v>113</v>
      </c>
      <c r="D34" s="48" t="s">
        <v>345</v>
      </c>
      <c r="E34" s="25" t="s">
        <v>108</v>
      </c>
      <c r="F34" s="21" t="s">
        <v>15</v>
      </c>
      <c r="G34" s="21" t="s">
        <v>15</v>
      </c>
      <c r="H34" s="72" t="s">
        <v>396</v>
      </c>
      <c r="I34" s="4"/>
      <c r="O34" s="32" t="s">
        <v>114</v>
      </c>
      <c r="P34" s="23">
        <f t="shared" si="0"/>
        <v>2</v>
      </c>
      <c r="Q34" s="4"/>
      <c r="R34" s="4"/>
      <c r="S34" s="4"/>
      <c r="T34" s="4"/>
      <c r="U34" s="4">
        <f t="shared" si="1"/>
        <v>0</v>
      </c>
      <c r="V34" s="5">
        <f t="shared" si="2"/>
        <v>2</v>
      </c>
      <c r="X34" s="2" t="s">
        <v>110</v>
      </c>
    </row>
    <row r="35" spans="1:24">
      <c r="A35" s="17">
        <v>12</v>
      </c>
      <c r="B35" s="18" t="s">
        <v>90</v>
      </c>
      <c r="C35" s="69" t="s">
        <v>115</v>
      </c>
      <c r="D35" s="48" t="s">
        <v>346</v>
      </c>
      <c r="E35" s="20" t="s">
        <v>108</v>
      </c>
      <c r="F35" s="30" t="s">
        <v>30</v>
      </c>
      <c r="G35" s="30" t="s">
        <v>30</v>
      </c>
      <c r="H35" s="72" t="s">
        <v>396</v>
      </c>
      <c r="I35" s="4"/>
      <c r="O35" s="32" t="s">
        <v>116</v>
      </c>
      <c r="P35" s="23">
        <f t="shared" si="0"/>
        <v>1</v>
      </c>
      <c r="Q35" s="4"/>
      <c r="R35" s="4"/>
      <c r="S35" s="4"/>
      <c r="T35" s="4"/>
      <c r="U35" s="4">
        <f t="shared" si="1"/>
        <v>0</v>
      </c>
      <c r="V35" s="5">
        <f t="shared" si="2"/>
        <v>1</v>
      </c>
      <c r="X35" s="2" t="s">
        <v>110</v>
      </c>
    </row>
    <row r="36" spans="1:24">
      <c r="A36" s="17">
        <v>13</v>
      </c>
      <c r="B36" s="17" t="s">
        <v>90</v>
      </c>
      <c r="C36" s="24" t="s">
        <v>117</v>
      </c>
      <c r="D36" s="48" t="s">
        <v>347</v>
      </c>
      <c r="E36" s="25" t="s">
        <v>118</v>
      </c>
      <c r="F36" s="21" t="s">
        <v>15</v>
      </c>
      <c r="G36" s="66" t="s">
        <v>57</v>
      </c>
      <c r="H36" s="66" t="s">
        <v>57</v>
      </c>
      <c r="I36" s="4"/>
      <c r="O36" s="22" t="s">
        <v>119</v>
      </c>
      <c r="P36" s="23">
        <f t="shared" si="0"/>
        <v>4</v>
      </c>
      <c r="Q36" s="4"/>
      <c r="R36" s="4"/>
      <c r="S36" s="4"/>
      <c r="T36" s="4"/>
      <c r="U36" s="4">
        <f t="shared" si="1"/>
        <v>0</v>
      </c>
      <c r="V36" s="5">
        <f t="shared" si="2"/>
        <v>4</v>
      </c>
    </row>
    <row r="37" spans="1:24">
      <c r="A37" s="17">
        <v>14</v>
      </c>
      <c r="B37" s="18" t="s">
        <v>90</v>
      </c>
      <c r="C37" s="19" t="s">
        <v>120</v>
      </c>
      <c r="D37" s="48" t="s">
        <v>349</v>
      </c>
      <c r="E37" s="20" t="s">
        <v>121</v>
      </c>
      <c r="F37" s="30" t="s">
        <v>30</v>
      </c>
      <c r="G37" s="30" t="s">
        <v>30</v>
      </c>
      <c r="H37" s="30" t="s">
        <v>30</v>
      </c>
      <c r="I37" s="4"/>
      <c r="O37" s="32" t="s">
        <v>122</v>
      </c>
      <c r="P37" s="23">
        <f t="shared" si="0"/>
        <v>5</v>
      </c>
      <c r="Q37" s="4"/>
      <c r="R37" s="4"/>
      <c r="S37" s="4"/>
      <c r="T37" s="4"/>
      <c r="U37" s="4">
        <f t="shared" si="1"/>
        <v>0</v>
      </c>
      <c r="V37" s="5">
        <f t="shared" si="2"/>
        <v>5</v>
      </c>
    </row>
    <row r="38" spans="1:24">
      <c r="A38" s="17">
        <v>15</v>
      </c>
      <c r="B38" s="17" t="s">
        <v>90</v>
      </c>
      <c r="C38" s="24" t="s">
        <v>123</v>
      </c>
      <c r="D38" s="48" t="s">
        <v>351</v>
      </c>
      <c r="E38" s="25" t="s">
        <v>121</v>
      </c>
      <c r="F38" s="30" t="s">
        <v>30</v>
      </c>
      <c r="G38" s="30" t="s">
        <v>30</v>
      </c>
      <c r="H38" s="30" t="s">
        <v>30</v>
      </c>
      <c r="I38" s="4"/>
      <c r="O38" s="32" t="s">
        <v>124</v>
      </c>
      <c r="P38" s="23">
        <f t="shared" si="0"/>
        <v>2</v>
      </c>
      <c r="Q38" s="4"/>
      <c r="R38" s="4"/>
      <c r="S38" s="4"/>
      <c r="T38" s="4"/>
      <c r="U38" s="4">
        <f t="shared" si="1"/>
        <v>0</v>
      </c>
      <c r="V38" s="5">
        <f t="shared" si="2"/>
        <v>2</v>
      </c>
    </row>
    <row r="39" spans="1:24">
      <c r="A39" s="17">
        <v>16</v>
      </c>
      <c r="B39" s="18" t="s">
        <v>90</v>
      </c>
      <c r="C39" s="19" t="s">
        <v>125</v>
      </c>
      <c r="D39" s="48" t="s">
        <v>352</v>
      </c>
      <c r="E39" s="20" t="s">
        <v>121</v>
      </c>
      <c r="F39" s="21" t="s">
        <v>15</v>
      </c>
      <c r="G39" s="21" t="s">
        <v>15</v>
      </c>
      <c r="H39" s="21" t="s">
        <v>15</v>
      </c>
      <c r="I39" s="4"/>
      <c r="O39" s="32" t="s">
        <v>126</v>
      </c>
      <c r="P39" s="23">
        <f t="shared" si="0"/>
        <v>3</v>
      </c>
      <c r="Q39" s="4"/>
      <c r="R39" s="4"/>
      <c r="S39" s="4"/>
      <c r="T39" s="4"/>
      <c r="U39" s="4">
        <f t="shared" si="1"/>
        <v>0</v>
      </c>
      <c r="V39" s="5">
        <f t="shared" si="2"/>
        <v>3</v>
      </c>
    </row>
    <row r="40" spans="1:24">
      <c r="A40" s="17">
        <v>17</v>
      </c>
      <c r="B40" s="17" t="s">
        <v>90</v>
      </c>
      <c r="C40" s="24" t="s">
        <v>127</v>
      </c>
      <c r="D40" s="48" t="s">
        <v>353</v>
      </c>
      <c r="E40" s="25" t="s">
        <v>128</v>
      </c>
      <c r="F40" s="30" t="s">
        <v>30</v>
      </c>
      <c r="G40" s="30" t="s">
        <v>30</v>
      </c>
      <c r="H40" s="30" t="s">
        <v>30</v>
      </c>
      <c r="I40" s="4"/>
      <c r="O40" s="32" t="s">
        <v>129</v>
      </c>
      <c r="P40" s="23">
        <f t="shared" si="0"/>
        <v>1</v>
      </c>
      <c r="Q40" s="4"/>
      <c r="R40" s="4"/>
      <c r="S40" s="4"/>
      <c r="T40" s="4"/>
      <c r="U40" s="4">
        <f t="shared" si="1"/>
        <v>0</v>
      </c>
      <c r="V40" s="5">
        <f t="shared" si="2"/>
        <v>1</v>
      </c>
    </row>
    <row r="41" spans="1:24">
      <c r="A41" s="17">
        <v>18</v>
      </c>
      <c r="B41" s="17" t="s">
        <v>90</v>
      </c>
      <c r="C41" s="24" t="s">
        <v>130</v>
      </c>
      <c r="D41" s="48" t="s">
        <v>355</v>
      </c>
      <c r="E41" s="25" t="s">
        <v>128</v>
      </c>
      <c r="F41" s="30" t="s">
        <v>30</v>
      </c>
      <c r="G41" s="30" t="s">
        <v>30</v>
      </c>
      <c r="H41" s="30" t="s">
        <v>30</v>
      </c>
      <c r="I41" s="4"/>
      <c r="O41" s="32" t="s">
        <v>131</v>
      </c>
      <c r="P41" s="23">
        <f t="shared" si="0"/>
        <v>1</v>
      </c>
      <c r="Q41" s="4"/>
      <c r="R41" s="4"/>
      <c r="S41" s="4"/>
      <c r="T41" s="4"/>
      <c r="U41" s="4">
        <f t="shared" si="1"/>
        <v>0</v>
      </c>
      <c r="V41" s="5">
        <f t="shared" si="2"/>
        <v>1</v>
      </c>
    </row>
    <row r="42" spans="1:24">
      <c r="A42" s="17">
        <v>19</v>
      </c>
      <c r="B42" s="18" t="s">
        <v>90</v>
      </c>
      <c r="C42" s="19" t="s">
        <v>132</v>
      </c>
      <c r="D42" s="48" t="s">
        <v>356</v>
      </c>
      <c r="E42" s="20" t="s">
        <v>128</v>
      </c>
      <c r="F42" s="21" t="s">
        <v>15</v>
      </c>
      <c r="G42" s="66" t="s">
        <v>57</v>
      </c>
      <c r="H42" s="66" t="s">
        <v>57</v>
      </c>
      <c r="I42" s="4"/>
      <c r="P42" s="4">
        <f>SUM(P24:P41)</f>
        <v>52</v>
      </c>
      <c r="Q42" s="1"/>
      <c r="R42" s="1"/>
      <c r="S42" s="1"/>
      <c r="T42" s="1"/>
      <c r="U42" s="1"/>
    </row>
    <row r="43" spans="1:24">
      <c r="A43" s="17">
        <v>20</v>
      </c>
      <c r="B43" s="17" t="s">
        <v>94</v>
      </c>
      <c r="C43" s="24" t="s">
        <v>133</v>
      </c>
      <c r="D43" s="48" t="s">
        <v>357</v>
      </c>
      <c r="E43" s="25" t="s">
        <v>134</v>
      </c>
      <c r="F43" s="30" t="s">
        <v>30</v>
      </c>
      <c r="G43" s="40" t="s">
        <v>158</v>
      </c>
      <c r="H43" s="21" t="s">
        <v>15</v>
      </c>
      <c r="I43" s="4"/>
    </row>
    <row r="44" spans="1:24">
      <c r="A44" s="17">
        <v>21</v>
      </c>
      <c r="B44" s="17" t="s">
        <v>94</v>
      </c>
      <c r="C44" s="24" t="s">
        <v>135</v>
      </c>
      <c r="D44" s="48" t="s">
        <v>359</v>
      </c>
      <c r="E44" s="25" t="s">
        <v>134</v>
      </c>
      <c r="F44" s="30" t="s">
        <v>30</v>
      </c>
      <c r="G44" s="40" t="s">
        <v>158</v>
      </c>
      <c r="H44" s="21" t="s">
        <v>15</v>
      </c>
      <c r="I44" s="4"/>
    </row>
    <row r="45" spans="1:24">
      <c r="A45" s="17">
        <v>22</v>
      </c>
      <c r="B45" s="34" t="s">
        <v>98</v>
      </c>
      <c r="C45" s="35" t="s">
        <v>136</v>
      </c>
      <c r="E45" s="36" t="s">
        <v>137</v>
      </c>
      <c r="F45" s="37" t="s">
        <v>138</v>
      </c>
      <c r="G45" s="37" t="s">
        <v>138</v>
      </c>
      <c r="H45" s="37" t="s">
        <v>138</v>
      </c>
      <c r="I45" s="38" t="s">
        <v>139</v>
      </c>
    </row>
    <row r="46" spans="1:24">
      <c r="A46" s="17">
        <v>23</v>
      </c>
      <c r="B46" s="18" t="s">
        <v>98</v>
      </c>
      <c r="C46" s="19" t="s">
        <v>140</v>
      </c>
      <c r="D46" s="48" t="s">
        <v>360</v>
      </c>
      <c r="E46" s="20" t="s">
        <v>141</v>
      </c>
      <c r="F46" s="30" t="s">
        <v>30</v>
      </c>
      <c r="G46" s="30" t="s">
        <v>30</v>
      </c>
      <c r="H46" s="30" t="s">
        <v>30</v>
      </c>
      <c r="I46" s="4"/>
    </row>
    <row r="47" spans="1:24">
      <c r="A47" s="17">
        <v>24</v>
      </c>
      <c r="B47" s="18" t="s">
        <v>103</v>
      </c>
      <c r="C47" s="19" t="s">
        <v>142</v>
      </c>
      <c r="D47" s="48" t="s">
        <v>363</v>
      </c>
      <c r="E47" s="20" t="s">
        <v>143</v>
      </c>
      <c r="F47" s="30" t="s">
        <v>30</v>
      </c>
      <c r="G47" s="30" t="s">
        <v>30</v>
      </c>
      <c r="H47" s="30" t="s">
        <v>30</v>
      </c>
      <c r="I47" s="4"/>
    </row>
    <row r="48" spans="1:24">
      <c r="A48" s="17">
        <v>25</v>
      </c>
      <c r="B48" s="17" t="s">
        <v>106</v>
      </c>
      <c r="C48" s="24" t="s">
        <v>144</v>
      </c>
      <c r="D48" s="48" t="s">
        <v>365</v>
      </c>
      <c r="E48" s="25" t="s">
        <v>145</v>
      </c>
      <c r="F48" s="21" t="s">
        <v>15</v>
      </c>
      <c r="G48" s="66" t="s">
        <v>57</v>
      </c>
      <c r="H48" s="66" t="s">
        <v>57</v>
      </c>
      <c r="I48" s="4"/>
    </row>
    <row r="49" spans="1:24">
      <c r="A49" s="17">
        <v>26</v>
      </c>
      <c r="B49" s="18" t="s">
        <v>106</v>
      </c>
      <c r="C49" s="19" t="s">
        <v>146</v>
      </c>
      <c r="D49" s="48" t="s">
        <v>367</v>
      </c>
      <c r="E49" s="20" t="s">
        <v>147</v>
      </c>
      <c r="F49" s="30" t="s">
        <v>30</v>
      </c>
      <c r="G49" s="30" t="s">
        <v>30</v>
      </c>
      <c r="H49" s="30" t="s">
        <v>30</v>
      </c>
      <c r="I49" s="4"/>
    </row>
    <row r="50" spans="1:24">
      <c r="A50" s="17">
        <v>27</v>
      </c>
      <c r="B50" s="17" t="s">
        <v>106</v>
      </c>
      <c r="C50" s="24" t="s">
        <v>148</v>
      </c>
      <c r="D50" s="48" t="s">
        <v>369</v>
      </c>
      <c r="E50" s="25" t="s">
        <v>149</v>
      </c>
      <c r="F50" s="21" t="s">
        <v>15</v>
      </c>
      <c r="G50" s="21" t="s">
        <v>15</v>
      </c>
      <c r="H50" s="21" t="s">
        <v>15</v>
      </c>
      <c r="I50" s="4"/>
    </row>
    <row r="51" spans="1:24">
      <c r="A51" s="17">
        <v>28</v>
      </c>
      <c r="B51" s="17" t="s">
        <v>106</v>
      </c>
      <c r="C51" s="24" t="s">
        <v>150</v>
      </c>
      <c r="D51" s="48" t="s">
        <v>371</v>
      </c>
      <c r="E51" s="25" t="s">
        <v>151</v>
      </c>
      <c r="F51" s="21" t="s">
        <v>15</v>
      </c>
      <c r="G51" s="21" t="s">
        <v>15</v>
      </c>
      <c r="H51" s="72" t="s">
        <v>396</v>
      </c>
      <c r="I51" s="4"/>
    </row>
    <row r="52" spans="1:24">
      <c r="A52" s="17">
        <v>29</v>
      </c>
      <c r="B52" s="17" t="s">
        <v>106</v>
      </c>
      <c r="C52" s="24" t="s">
        <v>152</v>
      </c>
      <c r="D52" s="48" t="s">
        <v>373</v>
      </c>
      <c r="E52" s="25" t="s">
        <v>153</v>
      </c>
      <c r="F52" s="30" t="s">
        <v>30</v>
      </c>
      <c r="G52" s="30" t="s">
        <v>30</v>
      </c>
      <c r="H52" s="30" t="s">
        <v>30</v>
      </c>
      <c r="I52" s="4"/>
    </row>
    <row r="53" spans="1:24">
      <c r="A53" s="17">
        <v>30</v>
      </c>
      <c r="B53" s="18" t="s">
        <v>109</v>
      </c>
      <c r="C53" s="19" t="s">
        <v>154</v>
      </c>
      <c r="D53" s="48" t="s">
        <v>374</v>
      </c>
      <c r="E53" s="20" t="s">
        <v>155</v>
      </c>
      <c r="F53" s="30" t="s">
        <v>30</v>
      </c>
      <c r="G53" s="30" t="s">
        <v>30</v>
      </c>
      <c r="H53" s="30" t="s">
        <v>30</v>
      </c>
      <c r="I53" s="4"/>
    </row>
    <row r="54" spans="1:24">
      <c r="A54" s="17">
        <v>31</v>
      </c>
      <c r="B54" s="17" t="s">
        <v>109</v>
      </c>
      <c r="C54" s="24" t="s">
        <v>156</v>
      </c>
      <c r="D54" s="48" t="s">
        <v>376</v>
      </c>
      <c r="E54" s="39" t="s">
        <v>157</v>
      </c>
      <c r="F54" s="40" t="s">
        <v>158</v>
      </c>
      <c r="G54" s="40" t="s">
        <v>158</v>
      </c>
      <c r="H54" s="40" t="s">
        <v>158</v>
      </c>
      <c r="I54" s="4"/>
    </row>
    <row r="55" spans="1:24">
      <c r="A55" s="17">
        <v>32</v>
      </c>
      <c r="B55" s="17" t="s">
        <v>109</v>
      </c>
      <c r="C55" s="24" t="s">
        <v>159</v>
      </c>
      <c r="D55" s="48" t="s">
        <v>378</v>
      </c>
      <c r="E55" s="39" t="s">
        <v>157</v>
      </c>
      <c r="F55" s="21" t="s">
        <v>15</v>
      </c>
      <c r="G55" s="21" t="s">
        <v>15</v>
      </c>
      <c r="H55" s="21" t="s">
        <v>15</v>
      </c>
      <c r="I55" s="4"/>
    </row>
    <row r="56" spans="1:24">
      <c r="A56" s="17">
        <v>33</v>
      </c>
      <c r="B56" s="17" t="s">
        <v>112</v>
      </c>
      <c r="C56" s="24" t="s">
        <v>160</v>
      </c>
      <c r="E56" s="25" t="s">
        <v>161</v>
      </c>
      <c r="F56" s="21" t="s">
        <v>15</v>
      </c>
      <c r="G56" s="21" t="s">
        <v>15</v>
      </c>
      <c r="H56" s="21" t="s">
        <v>15</v>
      </c>
      <c r="I56" s="4"/>
    </row>
    <row r="57" spans="1:24">
      <c r="A57" s="17">
        <v>34</v>
      </c>
      <c r="B57" s="17" t="s">
        <v>114</v>
      </c>
      <c r="C57" s="24" t="s">
        <v>162</v>
      </c>
      <c r="E57" s="25" t="s">
        <v>163</v>
      </c>
      <c r="F57" s="21" t="s">
        <v>15</v>
      </c>
      <c r="G57" s="40" t="s">
        <v>158</v>
      </c>
      <c r="H57" s="21" t="s">
        <v>15</v>
      </c>
      <c r="I57" s="4"/>
      <c r="L57" s="2" t="s">
        <v>164</v>
      </c>
    </row>
    <row r="58" spans="1:24">
      <c r="A58" s="17">
        <v>35</v>
      </c>
      <c r="B58" s="17" t="s">
        <v>114</v>
      </c>
      <c r="C58" s="24" t="s">
        <v>165</v>
      </c>
      <c r="E58" s="25" t="s">
        <v>166</v>
      </c>
      <c r="F58" s="30" t="s">
        <v>30</v>
      </c>
      <c r="G58" s="30" t="s">
        <v>30</v>
      </c>
      <c r="H58" s="30" t="s">
        <v>30</v>
      </c>
      <c r="I58" s="4"/>
      <c r="L58" s="2" t="s">
        <v>167</v>
      </c>
    </row>
    <row r="59" spans="1:24">
      <c r="A59" s="17">
        <v>36</v>
      </c>
      <c r="B59" s="17" t="s">
        <v>116</v>
      </c>
      <c r="C59" s="24" t="s">
        <v>168</v>
      </c>
      <c r="E59" s="25" t="s">
        <v>169</v>
      </c>
      <c r="F59" s="21" t="s">
        <v>15</v>
      </c>
      <c r="G59" s="21" t="s">
        <v>15</v>
      </c>
      <c r="H59" s="21" t="s">
        <v>15</v>
      </c>
      <c r="I59" s="4"/>
    </row>
    <row r="60" spans="1:24">
      <c r="A60" s="17">
        <v>37</v>
      </c>
      <c r="B60" s="18" t="s">
        <v>119</v>
      </c>
      <c r="C60" s="19" t="s">
        <v>170</v>
      </c>
      <c r="E60" s="20" t="s">
        <v>171</v>
      </c>
      <c r="F60" s="30" t="s">
        <v>30</v>
      </c>
      <c r="G60" s="30" t="s">
        <v>30</v>
      </c>
      <c r="H60" s="30" t="s">
        <v>30</v>
      </c>
      <c r="I60" s="4"/>
      <c r="L60" s="2" t="s">
        <v>172</v>
      </c>
    </row>
    <row r="61" spans="1:24">
      <c r="A61" s="17">
        <v>38</v>
      </c>
      <c r="B61" s="17" t="s">
        <v>119</v>
      </c>
      <c r="C61" s="24" t="s">
        <v>173</v>
      </c>
      <c r="E61" s="25" t="s">
        <v>171</v>
      </c>
      <c r="F61" s="30" t="s">
        <v>30</v>
      </c>
      <c r="G61" s="67" t="s">
        <v>57</v>
      </c>
      <c r="H61" s="72" t="s">
        <v>396</v>
      </c>
      <c r="I61" s="4" t="s">
        <v>402</v>
      </c>
    </row>
    <row r="62" spans="1:24">
      <c r="A62" s="17">
        <v>39</v>
      </c>
      <c r="B62" s="17" t="s">
        <v>119</v>
      </c>
      <c r="C62" s="24" t="s">
        <v>174</v>
      </c>
      <c r="E62" s="25" t="s">
        <v>175</v>
      </c>
      <c r="F62" s="21" t="s">
        <v>15</v>
      </c>
      <c r="G62" s="21" t="s">
        <v>15</v>
      </c>
      <c r="H62" s="21" t="s">
        <v>15</v>
      </c>
      <c r="I62" s="4"/>
    </row>
    <row r="63" spans="1:24">
      <c r="A63" s="17">
        <v>40</v>
      </c>
      <c r="B63" s="41" t="s">
        <v>119</v>
      </c>
      <c r="C63" s="42" t="s">
        <v>176</v>
      </c>
      <c r="E63" s="43" t="s">
        <v>177</v>
      </c>
      <c r="F63" s="37" t="s">
        <v>138</v>
      </c>
      <c r="G63" s="37" t="s">
        <v>138</v>
      </c>
      <c r="H63" s="37" t="s">
        <v>138</v>
      </c>
      <c r="I63" s="38" t="s">
        <v>139</v>
      </c>
      <c r="L63" s="2" t="s">
        <v>178</v>
      </c>
    </row>
    <row r="64" spans="1:24">
      <c r="A64" s="17">
        <v>41</v>
      </c>
      <c r="B64" s="17" t="s">
        <v>122</v>
      </c>
      <c r="C64" s="24" t="s">
        <v>179</v>
      </c>
      <c r="E64" s="25" t="s">
        <v>180</v>
      </c>
      <c r="F64" s="21" t="s">
        <v>15</v>
      </c>
      <c r="G64" s="67" t="s">
        <v>57</v>
      </c>
      <c r="H64" s="67" t="s">
        <v>57</v>
      </c>
      <c r="I64" s="4"/>
      <c r="X64" s="2" t="s">
        <v>181</v>
      </c>
    </row>
    <row r="65" spans="1:24">
      <c r="A65" s="17">
        <v>42</v>
      </c>
      <c r="B65" s="17" t="s">
        <v>122</v>
      </c>
      <c r="C65" s="24" t="s">
        <v>182</v>
      </c>
      <c r="E65" s="25" t="s">
        <v>183</v>
      </c>
      <c r="F65" s="21" t="s">
        <v>15</v>
      </c>
      <c r="G65" s="21" t="s">
        <v>15</v>
      </c>
      <c r="H65" s="21" t="s">
        <v>15</v>
      </c>
      <c r="I65" s="4"/>
      <c r="L65" s="2" t="s">
        <v>184</v>
      </c>
      <c r="X65" s="2" t="s">
        <v>185</v>
      </c>
    </row>
    <row r="66" spans="1:24">
      <c r="A66" s="17">
        <v>43</v>
      </c>
      <c r="B66" s="27" t="s">
        <v>122</v>
      </c>
      <c r="C66" s="28" t="s">
        <v>186</v>
      </c>
      <c r="E66" s="29" t="s">
        <v>187</v>
      </c>
      <c r="F66" s="21" t="s">
        <v>15</v>
      </c>
      <c r="G66" s="67" t="s">
        <v>57</v>
      </c>
      <c r="H66" s="72" t="s">
        <v>396</v>
      </c>
      <c r="I66" s="4" t="s">
        <v>403</v>
      </c>
      <c r="L66" s="2" t="s">
        <v>188</v>
      </c>
      <c r="X66" s="2" t="s">
        <v>189</v>
      </c>
    </row>
    <row r="67" spans="1:24">
      <c r="A67" s="17">
        <v>44</v>
      </c>
      <c r="B67" s="18" t="s">
        <v>122</v>
      </c>
      <c r="C67" s="19" t="s">
        <v>190</v>
      </c>
      <c r="D67" s="75"/>
      <c r="E67" s="20" t="s">
        <v>191</v>
      </c>
      <c r="F67" s="67" t="s">
        <v>57</v>
      </c>
      <c r="G67" s="40" t="s">
        <v>158</v>
      </c>
      <c r="H67" s="21" t="s">
        <v>15</v>
      </c>
      <c r="I67" s="4"/>
      <c r="K67" s="75"/>
      <c r="X67" s="2" t="s">
        <v>192</v>
      </c>
    </row>
    <row r="68" spans="1:24">
      <c r="A68" s="17">
        <v>45</v>
      </c>
      <c r="B68" s="27" t="s">
        <v>122</v>
      </c>
      <c r="C68" s="28" t="s">
        <v>193</v>
      </c>
      <c r="E68" s="29" t="s">
        <v>194</v>
      </c>
      <c r="F68" s="30" t="s">
        <v>30</v>
      </c>
      <c r="G68" s="30" t="s">
        <v>30</v>
      </c>
      <c r="H68" s="30" t="s">
        <v>30</v>
      </c>
      <c r="I68" s="4"/>
      <c r="L68" s="2" t="s">
        <v>195</v>
      </c>
      <c r="O68"/>
      <c r="X68" s="2" t="s">
        <v>196</v>
      </c>
    </row>
    <row r="69" spans="1:24">
      <c r="A69" s="17">
        <v>46</v>
      </c>
      <c r="B69" s="17" t="s">
        <v>124</v>
      </c>
      <c r="C69" s="24" t="s">
        <v>197</v>
      </c>
      <c r="D69" s="48" t="s">
        <v>380</v>
      </c>
      <c r="E69" s="25" t="s">
        <v>198</v>
      </c>
      <c r="F69" s="21" t="s">
        <v>15</v>
      </c>
      <c r="G69" s="40" t="s">
        <v>158</v>
      </c>
      <c r="H69" s="72" t="s">
        <v>396</v>
      </c>
      <c r="I69" s="4"/>
      <c r="L69"/>
    </row>
    <row r="70" spans="1:24">
      <c r="A70" s="17">
        <v>47</v>
      </c>
      <c r="B70" s="18" t="s">
        <v>124</v>
      </c>
      <c r="C70" s="19" t="s">
        <v>199</v>
      </c>
      <c r="D70" s="48" t="s">
        <v>383</v>
      </c>
      <c r="E70" s="20" t="s">
        <v>200</v>
      </c>
      <c r="F70" s="30" t="s">
        <v>30</v>
      </c>
      <c r="G70" s="40" t="s">
        <v>158</v>
      </c>
      <c r="H70" s="72" t="s">
        <v>396</v>
      </c>
      <c r="I70" s="4"/>
      <c r="K70" s="75"/>
    </row>
    <row r="71" spans="1:24">
      <c r="A71" s="17">
        <v>48</v>
      </c>
      <c r="B71" s="17" t="s">
        <v>126</v>
      </c>
      <c r="C71" s="24" t="s">
        <v>201</v>
      </c>
      <c r="D71" s="48" t="s">
        <v>386</v>
      </c>
      <c r="E71" s="25" t="s">
        <v>202</v>
      </c>
      <c r="F71" s="21" t="s">
        <v>15</v>
      </c>
      <c r="G71" s="21" t="s">
        <v>15</v>
      </c>
      <c r="H71" s="21" t="s">
        <v>15</v>
      </c>
      <c r="I71" s="4"/>
    </row>
    <row r="72" spans="1:24">
      <c r="A72" s="17">
        <v>49</v>
      </c>
      <c r="B72" s="18" t="s">
        <v>126</v>
      </c>
      <c r="C72" s="19" t="s">
        <v>203</v>
      </c>
      <c r="D72" s="48" t="s">
        <v>259</v>
      </c>
      <c r="E72" s="20" t="s">
        <v>204</v>
      </c>
      <c r="F72" s="30" t="s">
        <v>30</v>
      </c>
      <c r="G72" s="40" t="s">
        <v>158</v>
      </c>
      <c r="H72" s="72" t="s">
        <v>396</v>
      </c>
      <c r="I72" s="4"/>
      <c r="O72"/>
    </row>
    <row r="73" spans="1:24">
      <c r="A73" s="17">
        <v>50</v>
      </c>
      <c r="B73" s="17" t="s">
        <v>126</v>
      </c>
      <c r="C73" s="24" t="s">
        <v>205</v>
      </c>
      <c r="D73" s="48" t="s">
        <v>390</v>
      </c>
      <c r="E73" s="25" t="s">
        <v>206</v>
      </c>
      <c r="F73" s="21" t="s">
        <v>15</v>
      </c>
      <c r="G73" s="40" t="s">
        <v>158</v>
      </c>
      <c r="H73" s="72" t="s">
        <v>396</v>
      </c>
      <c r="I73" s="4"/>
      <c r="L73" s="5" t="s">
        <v>207</v>
      </c>
    </row>
    <row r="74" spans="1:24">
      <c r="A74" s="17">
        <v>51</v>
      </c>
      <c r="B74" s="17" t="s">
        <v>129</v>
      </c>
      <c r="C74" s="24" t="s">
        <v>208</v>
      </c>
      <c r="E74" s="25" t="s">
        <v>209</v>
      </c>
      <c r="F74" s="21" t="s">
        <v>15</v>
      </c>
      <c r="G74" s="21" t="s">
        <v>15</v>
      </c>
      <c r="H74" s="21" t="s">
        <v>15</v>
      </c>
      <c r="I74" s="4"/>
    </row>
    <row r="75" spans="1:24">
      <c r="A75" s="17">
        <v>52</v>
      </c>
      <c r="B75" s="17" t="s">
        <v>131</v>
      </c>
      <c r="C75" s="24" t="s">
        <v>210</v>
      </c>
      <c r="E75" s="39" t="s">
        <v>211</v>
      </c>
      <c r="F75" s="21" t="s">
        <v>15</v>
      </c>
      <c r="G75" s="21" t="s">
        <v>15</v>
      </c>
      <c r="H75" s="21" t="s">
        <v>15</v>
      </c>
      <c r="I75" s="4"/>
    </row>
    <row r="76" spans="1:24">
      <c r="E76" s="44" t="s">
        <v>212</v>
      </c>
      <c r="F76" s="44"/>
      <c r="G76" s="1"/>
      <c r="H76" s="74" t="s">
        <v>399</v>
      </c>
      <c r="I76" s="2"/>
    </row>
    <row r="77" spans="1:24">
      <c r="E77" s="44"/>
      <c r="F77" s="3" t="s">
        <v>397</v>
      </c>
      <c r="G77" s="3" t="s">
        <v>398</v>
      </c>
      <c r="H77" s="71">
        <v>244593</v>
      </c>
      <c r="I77" s="2"/>
    </row>
    <row r="78" spans="1:24">
      <c r="E78" s="21" t="s">
        <v>15</v>
      </c>
      <c r="F78" s="4">
        <f t="shared" ref="F78:F83" si="3">COUNTIF($F$3:$F$75,E78)</f>
        <v>33</v>
      </c>
      <c r="G78" s="4">
        <f t="shared" ref="G78:G83" si="4">COUNTIF($G$3:$G$75,E78)</f>
        <v>21</v>
      </c>
      <c r="H78" s="4">
        <f t="shared" ref="H78:H84" si="5">COUNTIF($H$3:$H$75,E78)</f>
        <v>22</v>
      </c>
      <c r="I78" s="2"/>
      <c r="K78" s="74" t="s">
        <v>213</v>
      </c>
      <c r="L78" s="1">
        <v>8</v>
      </c>
    </row>
    <row r="79" spans="1:24">
      <c r="E79" s="30" t="s">
        <v>30</v>
      </c>
      <c r="F79" s="4">
        <f t="shared" si="3"/>
        <v>26</v>
      </c>
      <c r="G79" s="4">
        <f t="shared" si="4"/>
        <v>20</v>
      </c>
      <c r="H79" s="4">
        <f t="shared" si="5"/>
        <v>19</v>
      </c>
      <c r="I79" s="2"/>
      <c r="K79" s="74" t="s">
        <v>214</v>
      </c>
      <c r="L79" s="1">
        <v>9</v>
      </c>
    </row>
    <row r="80" spans="1:24">
      <c r="E80" s="40" t="s">
        <v>158</v>
      </c>
      <c r="F80" s="4">
        <f t="shared" si="3"/>
        <v>1</v>
      </c>
      <c r="G80" s="4">
        <f t="shared" si="4"/>
        <v>13</v>
      </c>
      <c r="H80" s="4">
        <f t="shared" si="5"/>
        <v>1</v>
      </c>
      <c r="I80" s="2"/>
      <c r="K80" s="74" t="s">
        <v>215</v>
      </c>
      <c r="L80" s="1">
        <f>52-2</f>
        <v>50</v>
      </c>
    </row>
    <row r="81" spans="4:12">
      <c r="E81" s="21" t="s">
        <v>24</v>
      </c>
      <c r="F81" s="4">
        <f t="shared" si="3"/>
        <v>1</v>
      </c>
      <c r="G81" s="4">
        <f t="shared" si="4"/>
        <v>1</v>
      </c>
      <c r="H81" s="4">
        <f t="shared" si="5"/>
        <v>1</v>
      </c>
      <c r="I81" s="2"/>
      <c r="L81" s="1">
        <f>SUM(L78:L80)</f>
        <v>67</v>
      </c>
    </row>
    <row r="82" spans="4:12">
      <c r="D82" s="1"/>
      <c r="E82" s="21" t="s">
        <v>2</v>
      </c>
      <c r="F82" s="4">
        <f t="shared" si="3"/>
        <v>3</v>
      </c>
      <c r="G82" s="4">
        <f t="shared" si="4"/>
        <v>1</v>
      </c>
      <c r="H82" s="4">
        <f t="shared" si="5"/>
        <v>1</v>
      </c>
      <c r="I82" s="2"/>
      <c r="K82" s="1"/>
    </row>
    <row r="83" spans="4:12">
      <c r="D83" s="1"/>
      <c r="E83" s="67" t="s">
        <v>57</v>
      </c>
      <c r="F83" s="4">
        <f t="shared" si="3"/>
        <v>3</v>
      </c>
      <c r="G83" s="4">
        <f t="shared" si="4"/>
        <v>11</v>
      </c>
      <c r="H83" s="4">
        <f t="shared" si="5"/>
        <v>7</v>
      </c>
      <c r="I83" s="2"/>
      <c r="K83" s="1"/>
    </row>
    <row r="84" spans="4:12">
      <c r="D84" s="1"/>
      <c r="E84" s="72" t="s">
        <v>396</v>
      </c>
      <c r="F84" s="4"/>
      <c r="G84" s="4"/>
      <c r="H84" s="4">
        <f t="shared" si="5"/>
        <v>16</v>
      </c>
      <c r="I84" s="2"/>
      <c r="K84" s="1"/>
    </row>
    <row r="85" spans="4:12">
      <c r="D85" s="1"/>
      <c r="E85" s="4" t="s">
        <v>216</v>
      </c>
      <c r="F85" s="4">
        <f>SUM(F78:F83)</f>
        <v>67</v>
      </c>
      <c r="G85" s="4">
        <f>SUM(G78:G83)</f>
        <v>67</v>
      </c>
      <c r="H85" s="4">
        <f>SUM(H78:H84)</f>
        <v>67</v>
      </c>
      <c r="I85" s="2"/>
      <c r="K85" s="1"/>
    </row>
    <row r="86" spans="4:12">
      <c r="D86" s="1"/>
      <c r="E86" s="37" t="s">
        <v>138</v>
      </c>
      <c r="F86" s="4">
        <f>COUNTIF($F$3:$F$75,E86)</f>
        <v>2</v>
      </c>
      <c r="G86" s="4">
        <f>COUNTIF($G$4:$G$75,E86)</f>
        <v>2</v>
      </c>
      <c r="H86" s="4">
        <f>COUNTIF($H$3:$H$75,E86)</f>
        <v>2</v>
      </c>
      <c r="I86" s="2"/>
      <c r="K86" s="1"/>
    </row>
  </sheetData>
  <autoFilter ref="A3:X85" xr:uid="{E2786FEC-FE3B-472D-841A-4B7B4D9467E2}"/>
  <mergeCells count="1">
    <mergeCell ref="I2:I3"/>
  </mergeCells>
  <hyperlinks>
    <hyperlink ref="X27" r:id="rId1" xr:uid="{1EDC17E3-691C-4888-948D-B8CC360ABEB3}"/>
    <hyperlink ref="X29" r:id="rId2" xr:uid="{45781CD5-D94E-47B3-AF47-EF019E2EAB6E}"/>
  </hyperlinks>
  <printOptions horizontalCentered="1"/>
  <pageMargins left="0" right="0" top="0" bottom="0" header="0.3" footer="0.3"/>
  <pageSetup paperSize="9" scale="17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d0deda-c957-4f8b-abf8-85a7641fa811" xsi:nil="true"/>
    <lcf76f155ced4ddcb4097134ff3c332f xmlns="a08cea80-c44d-4444-9a16-22634a13106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C9AC3DA88DB34745817EABF825E83976" ma:contentTypeVersion="14" ma:contentTypeDescription="สร้างเอกสารใหม่" ma:contentTypeScope="" ma:versionID="0e72306d2703493b5ec1b8c104f96b7a">
  <xsd:schema xmlns:xsd="http://www.w3.org/2001/XMLSchema" xmlns:xs="http://www.w3.org/2001/XMLSchema" xmlns:p="http://schemas.microsoft.com/office/2006/metadata/properties" xmlns:ns2="a08cea80-c44d-4444-9a16-22634a131060" xmlns:ns3="6ed0deda-c957-4f8b-abf8-85a7641fa811" targetNamespace="http://schemas.microsoft.com/office/2006/metadata/properties" ma:root="true" ma:fieldsID="72adf3d32abf65e8c150daade857c023" ns2:_="" ns3:_="">
    <xsd:import namespace="a08cea80-c44d-4444-9a16-22634a131060"/>
    <xsd:import namespace="6ed0deda-c957-4f8b-abf8-85a7641fa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cea80-c44d-4444-9a16-22634a131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แท็กรูป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0deda-c957-4f8b-abf8-85a7641fa8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8de63d-d13c-4d99-913c-7d8d5677d0a3}" ma:internalName="TaxCatchAll" ma:showField="CatchAllData" ma:web="6ed0deda-c957-4f8b-abf8-85a7641fa8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FABBCA-46E2-410A-BAB4-DA5F923DD5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18AA8E-4B38-4A95-BD40-B8902B2616F1}">
  <ds:schemaRefs>
    <ds:schemaRef ds:uri="http://purl.org/dc/dcmitype/"/>
    <ds:schemaRef ds:uri="http://schemas.microsoft.com/office/2006/documentManagement/types"/>
    <ds:schemaRef ds:uri="6ed0deda-c957-4f8b-abf8-85a7641fa811"/>
    <ds:schemaRef ds:uri="a08cea80-c44d-4444-9a16-22634a131060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B407668-FD10-4A3F-A84A-B131EABFEE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cea80-c44d-4444-9a16-22634a131060"/>
    <ds:schemaRef ds:uri="6ed0deda-c957-4f8b-abf8-85a7641fa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List งานทะเบียนภาษี</vt:lpstr>
      <vt:lpstr>ตารางจาก mail</vt:lpstr>
      <vt:lpstr>เครื่องจักรกล</vt:lpstr>
      <vt:lpstr>เครื่องจักรกล!Print_Area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Thanawadee Kingrungpet</dc:creator>
  <cp:lastModifiedBy>Pramuk Chumchan</cp:lastModifiedBy>
  <cp:lastPrinted>2025-10-28T01:42:20Z</cp:lastPrinted>
  <dcterms:created xsi:type="dcterms:W3CDTF">2024-05-29T03:03:57Z</dcterms:created>
  <dcterms:modified xsi:type="dcterms:W3CDTF">2026-09-15T15:42:13Z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0x010100C9AC3DA88DB34745817EABF825E83976</vt:lpwstr>
  </property>
</Properties>
</file>